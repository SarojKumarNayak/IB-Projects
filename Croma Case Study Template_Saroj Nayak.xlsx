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85B77CF9-97EB-42F0-841B-454D14166B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 Sheet" sheetId="1" r:id="rId1"/>
    <sheet name="AS" sheetId="10" r:id="rId2"/>
    <sheet name="DS" sheetId="11" r:id="rId3"/>
    <sheet name="P&amp;L" sheetId="12" r:id="rId4"/>
    <sheet name="BS" sheetId="13" r:id="rId5"/>
    <sheet name="CFS" sheetId="14" r:id="rId6"/>
    <sheet name="Viability Analysis" sheetId="15" r:id="rId7"/>
  </sheets>
  <definedNames>
    <definedName name="MILLION">'Input Sheet'!$C$9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5" l="1"/>
  <c r="B10" i="15"/>
  <c r="C9" i="15"/>
  <c r="C6" i="10"/>
  <c r="H7" i="15"/>
  <c r="G7" i="15"/>
  <c r="F7" i="15"/>
  <c r="E7" i="15"/>
  <c r="D7" i="15"/>
  <c r="H14" i="13"/>
  <c r="G14" i="13"/>
  <c r="F14" i="13"/>
  <c r="E14" i="13"/>
  <c r="H12" i="13"/>
  <c r="G12" i="13"/>
  <c r="F12" i="13"/>
  <c r="E12" i="13"/>
  <c r="D14" i="13"/>
  <c r="D12" i="13"/>
  <c r="H19" i="14"/>
  <c r="G19" i="14"/>
  <c r="F19" i="14"/>
  <c r="E19" i="14"/>
  <c r="D19" i="14"/>
  <c r="H18" i="14"/>
  <c r="G18" i="14"/>
  <c r="F18" i="14"/>
  <c r="E18" i="14"/>
  <c r="D18" i="14"/>
  <c r="D75" i="1"/>
  <c r="D76" i="1"/>
  <c r="E75" i="1"/>
  <c r="H8" i="14"/>
  <c r="G8" i="14"/>
  <c r="F8" i="14"/>
  <c r="E8" i="14"/>
  <c r="D8" i="14"/>
  <c r="H17" i="12"/>
  <c r="G17" i="12"/>
  <c r="F17" i="12"/>
  <c r="E17" i="12"/>
  <c r="D17" i="12"/>
  <c r="H10" i="12"/>
  <c r="G10" i="12"/>
  <c r="F10" i="12"/>
  <c r="E10" i="12"/>
  <c r="D10" i="12"/>
  <c r="H9" i="12"/>
  <c r="G9" i="12"/>
  <c r="F9" i="12"/>
  <c r="E9" i="12"/>
  <c r="D9" i="12"/>
  <c r="H8" i="12"/>
  <c r="G8" i="12"/>
  <c r="F8" i="12"/>
  <c r="E8" i="12"/>
  <c r="D8" i="12"/>
  <c r="H7" i="12"/>
  <c r="G7" i="12"/>
  <c r="F7" i="12"/>
  <c r="E7" i="12"/>
  <c r="D7" i="12"/>
  <c r="H6" i="12"/>
  <c r="G6" i="12"/>
  <c r="F6" i="12"/>
  <c r="E6" i="12"/>
  <c r="D6" i="12"/>
  <c r="H5" i="12"/>
  <c r="G5" i="12"/>
  <c r="F5" i="12"/>
  <c r="E5" i="12"/>
  <c r="D5" i="12"/>
  <c r="H13" i="1"/>
  <c r="H14" i="1"/>
  <c r="H15" i="1"/>
  <c r="H16" i="1"/>
  <c r="H17" i="1"/>
  <c r="G13" i="1"/>
  <c r="G14" i="1"/>
  <c r="G15" i="1"/>
  <c r="G16" i="1"/>
  <c r="G17" i="1"/>
  <c r="F13" i="1"/>
  <c r="F14" i="1"/>
  <c r="F15" i="1"/>
  <c r="F16" i="1"/>
  <c r="F17" i="1"/>
  <c r="E13" i="1"/>
  <c r="E14" i="1"/>
  <c r="E15" i="1"/>
  <c r="E16" i="1"/>
  <c r="E17" i="1"/>
  <c r="D13" i="1"/>
  <c r="D14" i="1"/>
  <c r="D15" i="1"/>
  <c r="D16" i="1"/>
  <c r="D17" i="1"/>
  <c r="H12" i="1"/>
  <c r="G12" i="1"/>
  <c r="F12" i="1"/>
  <c r="E12" i="1"/>
  <c r="D12" i="1"/>
  <c r="H24" i="12"/>
  <c r="G24" i="12"/>
  <c r="F24" i="12"/>
  <c r="E24" i="12"/>
  <c r="D24" i="12"/>
  <c r="D16" i="12"/>
  <c r="H65" i="1"/>
  <c r="G65" i="1"/>
  <c r="G14" i="12" s="1"/>
  <c r="F65" i="1"/>
  <c r="F14" i="12" s="1"/>
  <c r="E65" i="1"/>
  <c r="D65" i="1"/>
  <c r="H14" i="12"/>
  <c r="E14" i="12"/>
  <c r="D14" i="12"/>
  <c r="D61" i="1"/>
  <c r="E61" i="1" s="1"/>
  <c r="E62" i="1"/>
  <c r="F62" i="1" s="1"/>
  <c r="G62" i="1" s="1"/>
  <c r="H62" i="1" s="1"/>
  <c r="E63" i="1"/>
  <c r="F63" i="1"/>
  <c r="G63" i="1"/>
  <c r="H63" i="1"/>
  <c r="E64" i="1"/>
  <c r="F64" i="1" s="1"/>
  <c r="G64" i="1" s="1"/>
  <c r="H64" i="1" s="1"/>
  <c r="D64" i="1"/>
  <c r="D63" i="1"/>
  <c r="D62" i="1"/>
  <c r="D6" i="11"/>
  <c r="F18" i="11" s="1"/>
  <c r="E76" i="1"/>
  <c r="E16" i="12" s="1"/>
  <c r="G7" i="10"/>
  <c r="F7" i="10"/>
  <c r="E7" i="10"/>
  <c r="D7" i="10"/>
  <c r="E57" i="1"/>
  <c r="F57" i="1"/>
  <c r="G57" i="1"/>
  <c r="H57" i="1" s="1"/>
  <c r="E58" i="1"/>
  <c r="F58" i="1"/>
  <c r="G58" i="1"/>
  <c r="H58" i="1"/>
  <c r="E56" i="1"/>
  <c r="F56" i="1"/>
  <c r="G56" i="1"/>
  <c r="H56" i="1"/>
  <c r="E55" i="1"/>
  <c r="F55" i="1"/>
  <c r="G55" i="1"/>
  <c r="H55" i="1"/>
  <c r="D58" i="1"/>
  <c r="D57" i="1"/>
  <c r="D56" i="1"/>
  <c r="D55" i="1"/>
  <c r="C100" i="1"/>
  <c r="C101" i="1" s="1"/>
  <c r="E51" i="1"/>
  <c r="F51" i="1" s="1"/>
  <c r="G51" i="1" s="1"/>
  <c r="H51" i="1" s="1"/>
  <c r="E52" i="1"/>
  <c r="F52" i="1"/>
  <c r="G52" i="1"/>
  <c r="H52" i="1"/>
  <c r="D52" i="1"/>
  <c r="D51" i="1"/>
  <c r="E44" i="1"/>
  <c r="F44" i="1"/>
  <c r="G44" i="1" s="1"/>
  <c r="H44" i="1" s="1"/>
  <c r="E45" i="1"/>
  <c r="F45" i="1"/>
  <c r="G45" i="1" s="1"/>
  <c r="H45" i="1" s="1"/>
  <c r="E46" i="1"/>
  <c r="F46" i="1"/>
  <c r="G46" i="1"/>
  <c r="H46" i="1"/>
  <c r="E47" i="1"/>
  <c r="F47" i="1"/>
  <c r="G47" i="1"/>
  <c r="H47" i="1"/>
  <c r="E48" i="1"/>
  <c r="F48" i="1"/>
  <c r="G48" i="1"/>
  <c r="H48" i="1"/>
  <c r="D48" i="1"/>
  <c r="D47" i="1"/>
  <c r="D46" i="1"/>
  <c r="D45" i="1"/>
  <c r="D44" i="1"/>
  <c r="H43" i="1"/>
  <c r="G43" i="1"/>
  <c r="F43" i="1"/>
  <c r="E43" i="1"/>
  <c r="D43" i="1"/>
  <c r="E23" i="1"/>
  <c r="F23" i="1" s="1"/>
  <c r="G23" i="1" s="1"/>
  <c r="H23" i="1" s="1"/>
  <c r="E24" i="1"/>
  <c r="F24" i="1" s="1"/>
  <c r="G24" i="1" s="1"/>
  <c r="H24" i="1" s="1"/>
  <c r="E25" i="1"/>
  <c r="F25" i="1" s="1"/>
  <c r="G25" i="1" s="1"/>
  <c r="H25" i="1" s="1"/>
  <c r="E26" i="1"/>
  <c r="F26" i="1" s="1"/>
  <c r="G26" i="1" s="1"/>
  <c r="H26" i="1" s="1"/>
  <c r="E27" i="1"/>
  <c r="F27" i="1" s="1"/>
  <c r="G27" i="1" s="1"/>
  <c r="H27" i="1" s="1"/>
  <c r="E28" i="1"/>
  <c r="F28" i="1"/>
  <c r="G28" i="1" s="1"/>
  <c r="H28" i="1" s="1"/>
  <c r="D28" i="1"/>
  <c r="D27" i="1"/>
  <c r="D26" i="1"/>
  <c r="D25" i="1"/>
  <c r="D24" i="1"/>
  <c r="D23" i="1"/>
  <c r="D34" i="1"/>
  <c r="C90" i="1"/>
  <c r="C89" i="1"/>
  <c r="C76" i="1"/>
  <c r="C75" i="1"/>
  <c r="C40" i="1"/>
  <c r="C39" i="1"/>
  <c r="C38" i="1"/>
  <c r="C37" i="1"/>
  <c r="C36" i="1"/>
  <c r="C35" i="1"/>
  <c r="C34" i="1"/>
  <c r="C6" i="1"/>
  <c r="C2" i="15"/>
  <c r="E1" i="15"/>
  <c r="F1" i="15" s="1"/>
  <c r="G1" i="15" s="1"/>
  <c r="H1" i="15" s="1"/>
  <c r="E2" i="14"/>
  <c r="F2" i="14" s="1"/>
  <c r="G2" i="14" s="1"/>
  <c r="H2" i="14" s="1"/>
  <c r="E2" i="13"/>
  <c r="F2" i="13" s="1"/>
  <c r="G2" i="13" s="1"/>
  <c r="H2" i="13" s="1"/>
  <c r="E2" i="12"/>
  <c r="F2" i="12" s="1"/>
  <c r="G2" i="12" s="1"/>
  <c r="H2" i="12" s="1"/>
  <c r="F2" i="11"/>
  <c r="G2" i="11" s="1"/>
  <c r="H2" i="11" s="1"/>
  <c r="E2" i="11"/>
  <c r="D3" i="1"/>
  <c r="E3" i="1" s="1"/>
  <c r="F3" i="1" s="1"/>
  <c r="G3" i="1" s="1"/>
  <c r="H3" i="1" s="1"/>
  <c r="H2" i="15" s="1"/>
  <c r="E2" i="1"/>
  <c r="F2" i="1" s="1"/>
  <c r="G2" i="1" s="1"/>
  <c r="H2" i="1" s="1"/>
  <c r="D20" i="11"/>
  <c r="D21" i="11" s="1"/>
  <c r="D22" i="11" s="1"/>
  <c r="D19" i="11"/>
  <c r="F76" i="1" l="1"/>
  <c r="F75" i="1"/>
  <c r="E15" i="12"/>
  <c r="D15" i="12"/>
  <c r="H34" i="1"/>
  <c r="H37" i="1"/>
  <c r="E37" i="1"/>
  <c r="D36" i="1"/>
  <c r="D37" i="1"/>
  <c r="D39" i="1"/>
  <c r="E36" i="1"/>
  <c r="E38" i="1"/>
  <c r="E35" i="1"/>
  <c r="E39" i="1"/>
  <c r="G34" i="1"/>
  <c r="D38" i="1"/>
  <c r="F34" i="1"/>
  <c r="D35" i="1"/>
  <c r="E34" i="1"/>
  <c r="H18" i="11"/>
  <c r="G18" i="11"/>
  <c r="F61" i="1"/>
  <c r="G61" i="1" s="1"/>
  <c r="C8" i="10"/>
  <c r="D79" i="1" s="1"/>
  <c r="C102" i="1"/>
  <c r="D3" i="14"/>
  <c r="F3" i="12"/>
  <c r="G3" i="12"/>
  <c r="E3" i="14"/>
  <c r="H3" i="13"/>
  <c r="D3" i="12"/>
  <c r="E3" i="12"/>
  <c r="H3" i="12"/>
  <c r="F3" i="14"/>
  <c r="G3" i="14"/>
  <c r="G3" i="13"/>
  <c r="H3" i="14"/>
  <c r="D3" i="13"/>
  <c r="E3" i="13"/>
  <c r="F3" i="13"/>
  <c r="D2" i="15"/>
  <c r="E2" i="15"/>
  <c r="F2" i="15"/>
  <c r="G2" i="15"/>
  <c r="D2" i="10"/>
  <c r="E2" i="10" s="1"/>
  <c r="F2" i="10" s="1"/>
  <c r="G2" i="10" s="1"/>
  <c r="D5" i="15" l="1"/>
  <c r="D21" i="12"/>
  <c r="D7" i="14"/>
  <c r="F16" i="12"/>
  <c r="G76" i="1"/>
  <c r="G75" i="1"/>
  <c r="F15" i="12"/>
  <c r="D11" i="12"/>
  <c r="F37" i="1"/>
  <c r="G37" i="1"/>
  <c r="D40" i="1"/>
  <c r="D18" i="12" s="1"/>
  <c r="F39" i="1"/>
  <c r="F38" i="1"/>
  <c r="F35" i="1"/>
  <c r="E11" i="12"/>
  <c r="E40" i="1"/>
  <c r="E18" i="12" s="1"/>
  <c r="F36" i="1"/>
  <c r="G19" i="11"/>
  <c r="G20" i="11" s="1"/>
  <c r="G21" i="11" s="1"/>
  <c r="G22" i="11" s="1"/>
  <c r="I18" i="11"/>
  <c r="H61" i="1"/>
  <c r="C9" i="10"/>
  <c r="C3" i="10"/>
  <c r="D3" i="11" s="1"/>
  <c r="D6" i="10" l="1"/>
  <c r="D8" i="10" s="1"/>
  <c r="D6" i="13"/>
  <c r="G16" i="12"/>
  <c r="H76" i="1"/>
  <c r="H16" i="12" s="1"/>
  <c r="H75" i="1"/>
  <c r="H15" i="12" s="1"/>
  <c r="G15" i="12"/>
  <c r="D20" i="12"/>
  <c r="D23" i="12" s="1"/>
  <c r="D26" i="12" s="1"/>
  <c r="F40" i="1"/>
  <c r="F18" i="12" s="1"/>
  <c r="F11" i="12"/>
  <c r="H36" i="1"/>
  <c r="G36" i="1"/>
  <c r="E20" i="12"/>
  <c r="H35" i="1"/>
  <c r="G35" i="1"/>
  <c r="G38" i="1"/>
  <c r="H38" i="1"/>
  <c r="H39" i="1"/>
  <c r="G39" i="1"/>
  <c r="D8" i="11"/>
  <c r="D9" i="11" s="1"/>
  <c r="E6" i="11" s="1"/>
  <c r="J18" i="11"/>
  <c r="F19" i="11" s="1"/>
  <c r="D3" i="10"/>
  <c r="E3" i="11" s="1"/>
  <c r="E79" i="1" l="1"/>
  <c r="E5" i="15"/>
  <c r="E21" i="12"/>
  <c r="E23" i="12" s="1"/>
  <c r="E26" i="12" s="1"/>
  <c r="E27" i="12" s="1"/>
  <c r="E29" i="12" s="1"/>
  <c r="E7" i="14"/>
  <c r="D27" i="12"/>
  <c r="D29" i="12" s="1"/>
  <c r="F20" i="12"/>
  <c r="G11" i="12"/>
  <c r="G40" i="1"/>
  <c r="G18" i="12" s="1"/>
  <c r="H40" i="1"/>
  <c r="H18" i="12" s="1"/>
  <c r="H11" i="12"/>
  <c r="H19" i="11"/>
  <c r="I19" i="11" s="1"/>
  <c r="E8" i="11" s="1"/>
  <c r="E9" i="11"/>
  <c r="F6" i="11" s="1"/>
  <c r="D9" i="10"/>
  <c r="E3" i="10"/>
  <c r="F3" i="11" s="1"/>
  <c r="E6" i="14" l="1"/>
  <c r="E9" i="14" s="1"/>
  <c r="E23" i="14" s="1"/>
  <c r="E5" i="13" s="1"/>
  <c r="E13" i="13"/>
  <c r="E16" i="13" s="1"/>
  <c r="E4" i="15"/>
  <c r="E9" i="15" s="1"/>
  <c r="D6" i="14"/>
  <c r="D9" i="14" s="1"/>
  <c r="D23" i="14" s="1"/>
  <c r="D5" i="13" s="1"/>
  <c r="D8" i="13" s="1"/>
  <c r="D4" i="15"/>
  <c r="D9" i="15" s="1"/>
  <c r="D13" i="13"/>
  <c r="E6" i="10"/>
  <c r="E8" i="10" s="1"/>
  <c r="E6" i="13"/>
  <c r="H20" i="12"/>
  <c r="G20" i="12"/>
  <c r="J19" i="11"/>
  <c r="F20" i="11" s="1"/>
  <c r="F3" i="10"/>
  <c r="G3" i="11" s="1"/>
  <c r="F79" i="1" l="1"/>
  <c r="F7" i="14"/>
  <c r="F5" i="15"/>
  <c r="F21" i="12"/>
  <c r="F23" i="12" s="1"/>
  <c r="F26" i="12" s="1"/>
  <c r="F27" i="12" s="1"/>
  <c r="F29" i="12" s="1"/>
  <c r="E9" i="10"/>
  <c r="E8" i="13"/>
  <c r="H20" i="11"/>
  <c r="I20" i="11" s="1"/>
  <c r="F8" i="11" s="1"/>
  <c r="F9" i="11" s="1"/>
  <c r="G6" i="11" s="1"/>
  <c r="G3" i="10"/>
  <c r="H3" i="11" s="1"/>
  <c r="F6" i="10" l="1"/>
  <c r="F6" i="13"/>
  <c r="F6" i="14"/>
  <c r="F9" i="14" s="1"/>
  <c r="F23" i="14" s="1"/>
  <c r="F5" i="13" s="1"/>
  <c r="F4" i="15"/>
  <c r="F9" i="15" s="1"/>
  <c r="F13" i="13"/>
  <c r="F16" i="13" s="1"/>
  <c r="J20" i="11"/>
  <c r="F21" i="11" s="1"/>
  <c r="F8" i="10" l="1"/>
  <c r="F9" i="10"/>
  <c r="F8" i="13"/>
  <c r="H21" i="11"/>
  <c r="I21" i="11" s="1"/>
  <c r="G8" i="11" s="1"/>
  <c r="G9" i="11" s="1"/>
  <c r="H6" i="11" s="1"/>
  <c r="E19" i="13"/>
  <c r="G6" i="10" l="1"/>
  <c r="G6" i="13"/>
  <c r="G79" i="1"/>
  <c r="G5" i="15"/>
  <c r="G21" i="12"/>
  <c r="G23" i="12" s="1"/>
  <c r="G26" i="12" s="1"/>
  <c r="G27" i="12" s="1"/>
  <c r="G29" i="12" s="1"/>
  <c r="G7" i="14"/>
  <c r="J21" i="11"/>
  <c r="F19" i="13"/>
  <c r="G6" i="14" l="1"/>
  <c r="G9" i="14" s="1"/>
  <c r="G23" i="14" s="1"/>
  <c r="G5" i="13" s="1"/>
  <c r="G8" i="13" s="1"/>
  <c r="G4" i="15"/>
  <c r="G9" i="15" s="1"/>
  <c r="G13" i="13"/>
  <c r="G16" i="13" s="1"/>
  <c r="G19" i="13" s="1"/>
  <c r="G8" i="10"/>
  <c r="G9" i="10"/>
  <c r="H6" i="13" s="1"/>
  <c r="H8" i="11"/>
  <c r="H9" i="11" s="1"/>
  <c r="F22" i="11"/>
  <c r="H79" i="1" l="1"/>
  <c r="H5" i="15"/>
  <c r="H21" i="12"/>
  <c r="H23" i="12" s="1"/>
  <c r="H26" i="12" s="1"/>
  <c r="H27" i="12" s="1"/>
  <c r="H29" i="12" s="1"/>
  <c r="H7" i="14"/>
  <c r="H22" i="11"/>
  <c r="I22" i="11" s="1"/>
  <c r="J22" i="11"/>
  <c r="D16" i="13"/>
  <c r="D19" i="13" s="1"/>
  <c r="H6" i="14" l="1"/>
  <c r="H9" i="14" s="1"/>
  <c r="H23" i="14" s="1"/>
  <c r="H5" i="13" s="1"/>
  <c r="H8" i="13" s="1"/>
  <c r="H13" i="13"/>
  <c r="H16" i="13" s="1"/>
  <c r="H19" i="13" s="1"/>
  <c r="H4" i="15"/>
  <c r="H9" i="15" s="1"/>
</calcChain>
</file>

<file path=xl/sharedStrings.xml><?xml version="1.0" encoding="utf-8"?>
<sst xmlns="http://schemas.openxmlformats.org/spreadsheetml/2006/main" count="297" uniqueCount="138">
  <si>
    <t xml:space="preserve">Particulars </t>
  </si>
  <si>
    <t>FY Ending</t>
  </si>
  <si>
    <t>Unit</t>
  </si>
  <si>
    <t>date</t>
  </si>
  <si>
    <t>Croma sold appliances last year</t>
  </si>
  <si>
    <t>#</t>
  </si>
  <si>
    <t>Croma wants to increase sales in next few years</t>
  </si>
  <si>
    <t>Washing machine</t>
  </si>
  <si>
    <t>Mobile phone</t>
  </si>
  <si>
    <t>T.V.</t>
  </si>
  <si>
    <t>Refrigerator</t>
  </si>
  <si>
    <t>Laptop</t>
  </si>
  <si>
    <t>A.C.</t>
  </si>
  <si>
    <t>num</t>
  </si>
  <si>
    <t>Prices</t>
  </si>
  <si>
    <t>Rs.</t>
  </si>
  <si>
    <t>%</t>
  </si>
  <si>
    <t>Sales growth rate</t>
  </si>
  <si>
    <t>% p.a.</t>
  </si>
  <si>
    <t>Average sales - croma dealers (Previous year)</t>
  </si>
  <si>
    <t>Showroom</t>
  </si>
  <si>
    <t>Godown</t>
  </si>
  <si>
    <t>sq.ft.</t>
  </si>
  <si>
    <t>Staff requirements</t>
  </si>
  <si>
    <t>Manager</t>
  </si>
  <si>
    <t>Sales</t>
  </si>
  <si>
    <t>Admin</t>
  </si>
  <si>
    <t>Cost data</t>
  </si>
  <si>
    <t>Showroon rent</t>
  </si>
  <si>
    <t>Rs./sq.ft per month</t>
  </si>
  <si>
    <t>months</t>
  </si>
  <si>
    <t>Initial cost (Advance)</t>
  </si>
  <si>
    <t>Go-down rent</t>
  </si>
  <si>
    <t>Staff salary</t>
  </si>
  <si>
    <t>Rs./month</t>
  </si>
  <si>
    <t>Salary hike rate</t>
  </si>
  <si>
    <t>Rentals growth rate</t>
  </si>
  <si>
    <t xml:space="preserve">Income tax </t>
  </si>
  <si>
    <t>Capital structure</t>
  </si>
  <si>
    <t xml:space="preserve">Minimum Debt/Equity ratio </t>
  </si>
  <si>
    <t>Ratio</t>
  </si>
  <si>
    <t>Loan repayment time</t>
  </si>
  <si>
    <t>years</t>
  </si>
  <si>
    <t>Interest rate</t>
  </si>
  <si>
    <t>Debt</t>
  </si>
  <si>
    <t>Equity</t>
  </si>
  <si>
    <t>Date of commencement of business</t>
  </si>
  <si>
    <t>Price escalation</t>
  </si>
  <si>
    <t>Million</t>
  </si>
  <si>
    <t>Dealear requirements (Area in sq.ft)</t>
  </si>
  <si>
    <t xml:space="preserve">Depreciation </t>
  </si>
  <si>
    <t>Initial cost requirement</t>
  </si>
  <si>
    <t>Capex (Initial fixed amount)</t>
  </si>
  <si>
    <t xml:space="preserve">Debt drawdown </t>
  </si>
  <si>
    <t>End of sheet</t>
  </si>
  <si>
    <t>Annual</t>
  </si>
  <si>
    <t>Asset schedule</t>
  </si>
  <si>
    <t>Opening balance</t>
  </si>
  <si>
    <t>Add: Capex</t>
  </si>
  <si>
    <t>Less: Depreciation</t>
  </si>
  <si>
    <t>Closing balance</t>
  </si>
  <si>
    <t>Renovation Charges</t>
  </si>
  <si>
    <t>Showroon rent (Advance for 12 months)</t>
  </si>
  <si>
    <t>Go-down rent (Advance for 12 months)</t>
  </si>
  <si>
    <t xml:space="preserve">Initial cost  = Initial renovation + Security Deposit </t>
  </si>
  <si>
    <t>Particulars</t>
  </si>
  <si>
    <t>Fixed Asset Schedule</t>
  </si>
  <si>
    <t>Input Sheet</t>
  </si>
  <si>
    <t>Debt schedule</t>
  </si>
  <si>
    <t>Add: Debt drawdown</t>
  </si>
  <si>
    <t>Less: Debt repaid</t>
  </si>
  <si>
    <t>EMI</t>
  </si>
  <si>
    <t>S.No.</t>
  </si>
  <si>
    <t>Interest</t>
  </si>
  <si>
    <t xml:space="preserve">Principle </t>
  </si>
  <si>
    <t>Debt Schedule</t>
  </si>
  <si>
    <t>Debt Repayment Schedule</t>
  </si>
  <si>
    <t>EMI (Annual)</t>
  </si>
  <si>
    <t>Year starting from</t>
  </si>
  <si>
    <t>EBITDA</t>
  </si>
  <si>
    <t>Less: D&amp;A</t>
  </si>
  <si>
    <t>EBIT</t>
  </si>
  <si>
    <t xml:space="preserve">Less: Interest </t>
  </si>
  <si>
    <t>EBT</t>
  </si>
  <si>
    <t>Less: Income tax</t>
  </si>
  <si>
    <t>EAT</t>
  </si>
  <si>
    <t>Operating expenses</t>
  </si>
  <si>
    <t>Salaries</t>
  </si>
  <si>
    <t>Rent - Showroom</t>
  </si>
  <si>
    <t>Rent - Go-down</t>
  </si>
  <si>
    <t>Additional operating expenses</t>
  </si>
  <si>
    <t>Total operating expenses</t>
  </si>
  <si>
    <t>Income Statement</t>
  </si>
  <si>
    <t>Revenues</t>
  </si>
  <si>
    <t>Total revenues</t>
  </si>
  <si>
    <t>Cash</t>
  </si>
  <si>
    <t>Total assets</t>
  </si>
  <si>
    <t>Rs</t>
  </si>
  <si>
    <t>Total liabilities</t>
  </si>
  <si>
    <t>Balance Sheet</t>
  </si>
  <si>
    <t>Assets</t>
  </si>
  <si>
    <t>Liabilities</t>
  </si>
  <si>
    <t>Reserves &amp; surplus</t>
  </si>
  <si>
    <t>Checksum</t>
  </si>
  <si>
    <t>Fixed assets</t>
  </si>
  <si>
    <t>Commission (revenue for franchisee)</t>
  </si>
  <si>
    <t>Sales amount</t>
  </si>
  <si>
    <t>EAT (Net Income)</t>
  </si>
  <si>
    <t>Add: D&amp;A</t>
  </si>
  <si>
    <t>Add: Interest</t>
  </si>
  <si>
    <t>Fixed asset (capex)</t>
  </si>
  <si>
    <t>Less: Interest</t>
  </si>
  <si>
    <t>Net cash flow/used during the year</t>
  </si>
  <si>
    <t>Add: Opening balance of cash</t>
  </si>
  <si>
    <t>Closing balance of cash</t>
  </si>
  <si>
    <t>Cash Flow Statement</t>
  </si>
  <si>
    <t>Cash flow from operating activities</t>
  </si>
  <si>
    <t>Cash flow from investing activities</t>
  </si>
  <si>
    <t>Add: debt adjustments</t>
  </si>
  <si>
    <t>Cash flow/used from operating activities</t>
  </si>
  <si>
    <t>Cash flow from financing activities</t>
  </si>
  <si>
    <t>Cash flow/used from financing activites</t>
  </si>
  <si>
    <t>Additional operating expenses   (%comission for franchisee revenue)</t>
  </si>
  <si>
    <t>IRR</t>
  </si>
  <si>
    <t>Net Profit</t>
  </si>
  <si>
    <t>NPV</t>
  </si>
  <si>
    <t>Hurdle rate/Cost of equity</t>
  </si>
  <si>
    <t>Free Cash flows</t>
  </si>
  <si>
    <t>Add: Security deposit refund</t>
  </si>
  <si>
    <t>Add/less: Debt amount raised / (repaid)</t>
  </si>
  <si>
    <t>Add: depreciation</t>
  </si>
  <si>
    <t>Increment in staff requirements</t>
  </si>
  <si>
    <t>Opportunity cost/Hurdle rate/Cost of equity</t>
  </si>
  <si>
    <t>Less: Initial Investment (Capital expenses)</t>
  </si>
  <si>
    <t>Total Sales</t>
  </si>
  <si>
    <t>60:40</t>
  </si>
  <si>
    <t>Annual Salary</t>
  </si>
  <si>
    <t>Since NPV is Negative, the business doesn't seem viable for Mr. Sonu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</si>
</sst>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&quot;Year&quot;\ 0"/>
    <numFmt numFmtId="166" formatCode="[$-F800]dddd\,\ mmmm\ dd\,\ yyyy"/>
    <numFmt numFmtId="167" formatCode="_-* #,##0_-;\-* #,##0_-;_-* &quot;-&quot;??_-;_-@_-"/>
    <numFmt numFmtId="168" formatCode="#,##0_ ;\-#,##0\ "/>
    <numFmt numFmtId="169" formatCode="_(* #,##0_);_(* \(#,##0\);_(* &quot;-&quot;??_);_(@_)"/>
    <numFmt numFmtId="170" formatCode="&quot;Year&quot;\ #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2" fillId="2" borderId="0" xfId="0" applyFont="1" applyFill="1"/>
    <xf numFmtId="0" fontId="5" fillId="2" borderId="0" xfId="0" applyFont="1" applyFill="1"/>
    <xf numFmtId="165" fontId="2" fillId="2" borderId="0" xfId="0" applyNumberFormat="1" applyFont="1" applyFill="1"/>
    <xf numFmtId="14" fontId="2" fillId="2" borderId="0" xfId="0" applyNumberFormat="1" applyFont="1" applyFill="1"/>
    <xf numFmtId="0" fontId="6" fillId="0" borderId="0" xfId="0" applyFont="1"/>
    <xf numFmtId="0" fontId="7" fillId="0" borderId="0" xfId="0" applyFont="1"/>
    <xf numFmtId="0" fontId="3" fillId="0" borderId="0" xfId="0" applyFont="1"/>
    <xf numFmtId="167" fontId="0" fillId="0" borderId="0" xfId="1" applyNumberFormat="1" applyFont="1"/>
    <xf numFmtId="167" fontId="6" fillId="0" borderId="0" xfId="1" applyNumberFormat="1" applyFont="1" applyFill="1"/>
    <xf numFmtId="9" fontId="6" fillId="0" borderId="0" xfId="2" applyFont="1" applyFill="1"/>
    <xf numFmtId="164" fontId="0" fillId="0" borderId="0" xfId="1" applyFont="1"/>
    <xf numFmtId="0" fontId="8" fillId="0" borderId="0" xfId="0" applyFont="1"/>
    <xf numFmtId="0" fontId="6" fillId="0" borderId="0" xfId="0" applyFont="1" applyAlignment="1">
      <alignment wrapText="1"/>
    </xf>
    <xf numFmtId="0" fontId="6" fillId="0" borderId="0" xfId="2" applyNumberFormat="1" applyFont="1" applyFill="1"/>
    <xf numFmtId="0" fontId="4" fillId="0" borderId="0" xfId="0" applyFont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7" fillId="0" borderId="4" xfId="0" applyFont="1" applyBorder="1"/>
    <xf numFmtId="167" fontId="6" fillId="0" borderId="2" xfId="1" applyNumberFormat="1" applyFont="1" applyFill="1" applyBorder="1"/>
    <xf numFmtId="0" fontId="3" fillId="0" borderId="3" xfId="0" applyFont="1" applyBorder="1"/>
    <xf numFmtId="0" fontId="4" fillId="0" borderId="4" xfId="0" applyFont="1" applyBorder="1"/>
    <xf numFmtId="9" fontId="3" fillId="0" borderId="0" xfId="2" applyFont="1" applyFill="1" applyBorder="1"/>
    <xf numFmtId="9" fontId="0" fillId="0" borderId="0" xfId="2" applyFont="1"/>
    <xf numFmtId="0" fontId="0" fillId="0" borderId="0" xfId="2" applyNumberFormat="1" applyFont="1"/>
    <xf numFmtId="167" fontId="6" fillId="0" borderId="0" xfId="0" applyNumberFormat="1" applyFont="1"/>
    <xf numFmtId="0" fontId="3" fillId="3" borderId="0" xfId="0" applyFont="1" applyFill="1"/>
    <xf numFmtId="0" fontId="4" fillId="3" borderId="0" xfId="0" applyFont="1" applyFill="1"/>
    <xf numFmtId="167" fontId="9" fillId="3" borderId="0" xfId="1" applyNumberFormat="1" applyFont="1" applyFill="1"/>
    <xf numFmtId="0" fontId="9" fillId="3" borderId="0" xfId="0" applyFont="1" applyFill="1"/>
    <xf numFmtId="0" fontId="3" fillId="0" borderId="0" xfId="0" applyFont="1" applyAlignment="1">
      <alignment wrapText="1"/>
    </xf>
    <xf numFmtId="9" fontId="3" fillId="0" borderId="0" xfId="2" applyFont="1" applyFill="1"/>
    <xf numFmtId="9" fontId="6" fillId="0" borderId="0" xfId="0" applyNumberFormat="1" applyFont="1"/>
    <xf numFmtId="0" fontId="3" fillId="0" borderId="7" xfId="0" applyFont="1" applyBorder="1"/>
    <xf numFmtId="0" fontId="4" fillId="0" borderId="7" xfId="0" applyFont="1" applyBorder="1"/>
    <xf numFmtId="167" fontId="9" fillId="0" borderId="7" xfId="1" applyNumberFormat="1" applyFont="1" applyBorder="1"/>
    <xf numFmtId="0" fontId="9" fillId="0" borderId="0" xfId="0" applyFont="1"/>
    <xf numFmtId="167" fontId="0" fillId="0" borderId="0" xfId="1" applyNumberFormat="1" applyFont="1" applyFill="1" applyBorder="1"/>
    <xf numFmtId="167" fontId="6" fillId="0" borderId="0" xfId="1" applyNumberFormat="1" applyFont="1"/>
    <xf numFmtId="15" fontId="0" fillId="0" borderId="0" xfId="1" applyNumberFormat="1" applyFont="1"/>
    <xf numFmtId="0" fontId="3" fillId="0" borderId="9" xfId="0" applyFont="1" applyBorder="1"/>
    <xf numFmtId="0" fontId="4" fillId="0" borderId="9" xfId="0" applyFont="1" applyBorder="1"/>
    <xf numFmtId="167" fontId="9" fillId="0" borderId="9" xfId="1" applyNumberFormat="1" applyFont="1" applyBorder="1"/>
    <xf numFmtId="0" fontId="2" fillId="0" borderId="0" xfId="0" applyFont="1"/>
    <xf numFmtId="165" fontId="2" fillId="0" borderId="0" xfId="0" applyNumberFormat="1" applyFont="1"/>
    <xf numFmtId="167" fontId="0" fillId="0" borderId="0" xfId="1" applyNumberFormat="1" applyFont="1" applyFill="1"/>
    <xf numFmtId="14" fontId="2" fillId="0" borderId="0" xfId="0" applyNumberFormat="1" applyFont="1"/>
    <xf numFmtId="167" fontId="9" fillId="0" borderId="0" xfId="1" applyNumberFormat="1" applyFont="1" applyBorder="1"/>
    <xf numFmtId="167" fontId="2" fillId="2" borderId="0" xfId="1" applyNumberFormat="1" applyFont="1" applyFill="1"/>
    <xf numFmtId="167" fontId="9" fillId="0" borderId="1" xfId="1" applyNumberFormat="1" applyFont="1" applyBorder="1"/>
    <xf numFmtId="167" fontId="0" fillId="0" borderId="1" xfId="1" applyNumberFormat="1" applyFont="1" applyBorder="1"/>
    <xf numFmtId="166" fontId="0" fillId="0" borderId="0" xfId="1" applyNumberFormat="1" applyFont="1" applyBorder="1"/>
    <xf numFmtId="167" fontId="0" fillId="0" borderId="0" xfId="1" applyNumberFormat="1" applyFont="1" applyBorder="1"/>
    <xf numFmtId="167" fontId="0" fillId="0" borderId="3" xfId="1" applyNumberFormat="1" applyFont="1" applyBorder="1"/>
    <xf numFmtId="166" fontId="0" fillId="0" borderId="4" xfId="1" applyNumberFormat="1" applyFont="1" applyBorder="1"/>
    <xf numFmtId="167" fontId="0" fillId="0" borderId="4" xfId="1" applyNumberFormat="1" applyFont="1" applyBorder="1"/>
    <xf numFmtId="166" fontId="0" fillId="0" borderId="0" xfId="1" applyNumberFormat="1" applyFont="1"/>
    <xf numFmtId="166" fontId="9" fillId="3" borderId="0" xfId="1" applyNumberFormat="1" applyFont="1" applyFill="1"/>
    <xf numFmtId="0" fontId="3" fillId="0" borderId="10" xfId="0" applyFont="1" applyBorder="1"/>
    <xf numFmtId="0" fontId="4" fillId="0" borderId="10" xfId="0" applyFont="1" applyBorder="1"/>
    <xf numFmtId="167" fontId="9" fillId="0" borderId="10" xfId="1" applyNumberFormat="1" applyFont="1" applyBorder="1"/>
    <xf numFmtId="0" fontId="3" fillId="0" borderId="1" xfId="0" applyFont="1" applyBorder="1"/>
    <xf numFmtId="166" fontId="3" fillId="4" borderId="0" xfId="0" applyNumberFormat="1" applyFont="1" applyFill="1"/>
    <xf numFmtId="167" fontId="6" fillId="4" borderId="0" xfId="1" applyNumberFormat="1" applyFont="1" applyFill="1"/>
    <xf numFmtId="9" fontId="6" fillId="4" borderId="0" xfId="2" applyFont="1" applyFill="1"/>
    <xf numFmtId="0" fontId="6" fillId="4" borderId="2" xfId="0" applyFont="1" applyFill="1" applyBorder="1"/>
    <xf numFmtId="9" fontId="3" fillId="4" borderId="5" xfId="2" applyFont="1" applyFill="1" applyBorder="1"/>
    <xf numFmtId="167" fontId="6" fillId="4" borderId="2" xfId="1" applyNumberFormat="1" applyFont="1" applyFill="1" applyBorder="1"/>
    <xf numFmtId="9" fontId="6" fillId="4" borderId="2" xfId="2" applyFont="1" applyFill="1" applyBorder="1"/>
    <xf numFmtId="9" fontId="6" fillId="4" borderId="5" xfId="2" applyFont="1" applyFill="1" applyBorder="1"/>
    <xf numFmtId="0" fontId="6" fillId="4" borderId="5" xfId="0" applyFont="1" applyFill="1" applyBorder="1"/>
    <xf numFmtId="0" fontId="6" fillId="4" borderId="0" xfId="0" applyFont="1" applyFill="1"/>
    <xf numFmtId="9" fontId="3" fillId="4" borderId="0" xfId="2" applyFont="1" applyFill="1"/>
    <xf numFmtId="0" fontId="6" fillId="5" borderId="0" xfId="0" applyFont="1" applyFill="1"/>
    <xf numFmtId="0" fontId="12" fillId="0" borderId="0" xfId="0" applyFont="1"/>
    <xf numFmtId="0" fontId="13" fillId="0" borderId="0" xfId="0" applyFont="1"/>
    <xf numFmtId="167" fontId="12" fillId="0" borderId="0" xfId="1" applyNumberFormat="1" applyFont="1"/>
    <xf numFmtId="167" fontId="9" fillId="0" borderId="0" xfId="1" applyNumberFormat="1" applyFont="1"/>
    <xf numFmtId="9" fontId="3" fillId="0" borderId="7" xfId="2" applyFont="1" applyFill="1" applyBorder="1"/>
    <xf numFmtId="0" fontId="7" fillId="0" borderId="10" xfId="0" applyFont="1" applyBorder="1"/>
    <xf numFmtId="0" fontId="6" fillId="0" borderId="10" xfId="0" applyFont="1" applyBorder="1"/>
    <xf numFmtId="167" fontId="0" fillId="0" borderId="10" xfId="1" applyNumberFormat="1" applyFont="1" applyBorder="1"/>
    <xf numFmtId="168" fontId="9" fillId="0" borderId="10" xfId="1" applyNumberFormat="1" applyFont="1" applyBorder="1"/>
    <xf numFmtId="168" fontId="9" fillId="0" borderId="7" xfId="1" applyNumberFormat="1" applyFont="1" applyBorder="1"/>
    <xf numFmtId="168" fontId="0" fillId="0" borderId="0" xfId="1" applyNumberFormat="1" applyFont="1"/>
    <xf numFmtId="0" fontId="0" fillId="0" borderId="0" xfId="1" applyNumberFormat="1" applyFont="1" applyFill="1"/>
    <xf numFmtId="169" fontId="0" fillId="0" borderId="0" xfId="1" applyNumberFormat="1" applyFont="1" applyFill="1"/>
    <xf numFmtId="169" fontId="0" fillId="0" borderId="0" xfId="0" applyNumberFormat="1"/>
    <xf numFmtId="10" fontId="0" fillId="0" borderId="0" xfId="0" applyNumberFormat="1"/>
    <xf numFmtId="0" fontId="14" fillId="0" borderId="0" xfId="0" applyFont="1"/>
    <xf numFmtId="15" fontId="2" fillId="2" borderId="0" xfId="0" applyNumberFormat="1" applyFont="1" applyFill="1"/>
    <xf numFmtId="0" fontId="5" fillId="0" borderId="0" xfId="0" applyFont="1"/>
    <xf numFmtId="15" fontId="2" fillId="0" borderId="0" xfId="0" applyNumberFormat="1" applyFont="1"/>
    <xf numFmtId="168" fontId="10" fillId="0" borderId="0" xfId="1" applyNumberFormat="1" applyFont="1" applyFill="1" applyBorder="1"/>
    <xf numFmtId="168" fontId="0" fillId="0" borderId="0" xfId="1" applyNumberFormat="1" applyFont="1" applyFill="1"/>
    <xf numFmtId="168" fontId="0" fillId="0" borderId="4" xfId="1" applyNumberFormat="1" applyFont="1" applyFill="1" applyBorder="1"/>
    <xf numFmtId="168" fontId="0" fillId="0" borderId="4" xfId="1" applyNumberFormat="1" applyFont="1" applyFill="1" applyBorder="1" applyAlignment="1">
      <alignment vertical="center"/>
    </xf>
    <xf numFmtId="168" fontId="10" fillId="0" borderId="4" xfId="1" applyNumberFormat="1" applyFont="1" applyFill="1" applyBorder="1"/>
    <xf numFmtId="168" fontId="0" fillId="0" borderId="0" xfId="1" applyNumberFormat="1" applyFont="1" applyFill="1" applyBorder="1" applyAlignment="1"/>
    <xf numFmtId="9" fontId="0" fillId="0" borderId="0" xfId="0" applyNumberFormat="1"/>
    <xf numFmtId="167" fontId="6" fillId="0" borderId="5" xfId="1" applyNumberFormat="1" applyFont="1" applyFill="1" applyBorder="1"/>
    <xf numFmtId="170" fontId="2" fillId="2" borderId="0" xfId="0" applyNumberFormat="1" applyFont="1" applyFill="1"/>
    <xf numFmtId="167" fontId="6" fillId="5" borderId="0" xfId="0" applyNumberFormat="1" applyFont="1" applyFill="1"/>
    <xf numFmtId="46" fontId="6" fillId="4" borderId="0" xfId="0" quotePrefix="1" applyNumberFormat="1" applyFont="1" applyFill="1"/>
    <xf numFmtId="167" fontId="3" fillId="0" borderId="9" xfId="1" applyNumberFormat="1" applyFont="1" applyBorder="1"/>
    <xf numFmtId="10" fontId="15" fillId="0" borderId="0" xfId="0" applyNumberFormat="1" applyFont="1"/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0" xfId="0" applyFont="1" applyAlignment="1">
      <alignment horizontal="center"/>
    </xf>
    <xf numFmtId="167" fontId="11" fillId="2" borderId="6" xfId="1" applyNumberFormat="1" applyFont="1" applyFill="1" applyBorder="1" applyAlignment="1">
      <alignment horizontal="center"/>
    </xf>
    <xf numFmtId="167" fontId="11" fillId="2" borderId="7" xfId="1" applyNumberFormat="1" applyFont="1" applyFill="1" applyBorder="1" applyAlignment="1">
      <alignment horizontal="center"/>
    </xf>
    <xf numFmtId="167" fontId="11" fillId="2" borderId="8" xfId="1" applyNumberFormat="1" applyFont="1" applyFill="1" applyBorder="1" applyAlignment="1">
      <alignment horizontal="center"/>
    </xf>
    <xf numFmtId="0" fontId="0" fillId="0" borderId="4" xfId="1" applyNumberFormat="1" applyFont="1" applyFill="1" applyBorder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108"/>
  <sheetViews>
    <sheetView showGridLines="0" tabSelected="1" zoomScale="110" zoomScaleNormal="11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98" sqref="D98"/>
    </sheetView>
  </sheetViews>
  <sheetFormatPr defaultColWidth="0" defaultRowHeight="14.4" zeroHeight="1" x14ac:dyDescent="0.3"/>
  <cols>
    <col min="1" max="1" width="63.6640625" style="5" bestFit="1" customWidth="1"/>
    <col min="2" max="2" width="18.88671875" style="6" customWidth="1"/>
    <col min="3" max="3" width="20.21875" style="5" bestFit="1" customWidth="1"/>
    <col min="4" max="8" width="13.33203125" style="8" bestFit="1" customWidth="1"/>
    <col min="9" max="9" width="0" hidden="1" customWidth="1"/>
    <col min="10" max="16384" width="9.109375" hidden="1"/>
  </cols>
  <sheetData>
    <row r="1" spans="1:8" x14ac:dyDescent="0.3">
      <c r="A1" s="1" t="s">
        <v>67</v>
      </c>
      <c r="B1" s="2"/>
      <c r="C1" s="1"/>
      <c r="D1" s="1"/>
      <c r="E1" s="1"/>
      <c r="F1" s="1"/>
      <c r="G1" s="1"/>
      <c r="H1" s="1"/>
    </row>
    <row r="2" spans="1:8" x14ac:dyDescent="0.3">
      <c r="A2" s="1" t="s">
        <v>0</v>
      </c>
      <c r="B2" s="2" t="s">
        <v>2</v>
      </c>
      <c r="C2" s="1"/>
      <c r="D2" s="102">
        <v>1</v>
      </c>
      <c r="E2" s="3">
        <f>D2+1</f>
        <v>2</v>
      </c>
      <c r="F2" s="3">
        <f t="shared" ref="F2:H2" si="0">E2+1</f>
        <v>3</v>
      </c>
      <c r="G2" s="3">
        <f t="shared" si="0"/>
        <v>4</v>
      </c>
      <c r="H2" s="3">
        <f t="shared" si="0"/>
        <v>5</v>
      </c>
    </row>
    <row r="3" spans="1:8" x14ac:dyDescent="0.3">
      <c r="A3" s="1" t="s">
        <v>1</v>
      </c>
      <c r="B3" s="2"/>
      <c r="C3" s="1"/>
      <c r="D3" s="4">
        <f>DATE(YEAR(C4)+IF(MONTH(C4)&gt;3,1,0),3,31)</f>
        <v>45382</v>
      </c>
      <c r="E3" s="4">
        <f>EDATE(D3,12)</f>
        <v>45747</v>
      </c>
      <c r="F3" s="4">
        <f t="shared" ref="F3:H3" si="1">EDATE(E3,12)</f>
        <v>46112</v>
      </c>
      <c r="G3" s="4">
        <f t="shared" si="1"/>
        <v>46477</v>
      </c>
      <c r="H3" s="4">
        <f t="shared" si="1"/>
        <v>46843</v>
      </c>
    </row>
    <row r="4" spans="1:8" x14ac:dyDescent="0.3">
      <c r="A4" s="5" t="s">
        <v>46</v>
      </c>
      <c r="B4" s="6" t="s">
        <v>3</v>
      </c>
      <c r="C4" s="63">
        <v>45017</v>
      </c>
      <c r="D4" s="40"/>
    </row>
    <row r="5" spans="1:8" x14ac:dyDescent="0.3"/>
    <row r="6" spans="1:8" x14ac:dyDescent="0.3">
      <c r="A6" s="5" t="s">
        <v>4</v>
      </c>
      <c r="B6" s="6" t="s">
        <v>5</v>
      </c>
      <c r="C6" s="64">
        <f>80+300+70+75+90+80</f>
        <v>695</v>
      </c>
    </row>
    <row r="7" spans="1:8" x14ac:dyDescent="0.3">
      <c r="A7" s="5" t="s">
        <v>6</v>
      </c>
      <c r="B7" s="6" t="s">
        <v>5</v>
      </c>
      <c r="C7" s="65">
        <v>0.5</v>
      </c>
    </row>
    <row r="8" spans="1:8" x14ac:dyDescent="0.3">
      <c r="C8" s="10"/>
    </row>
    <row r="9" spans="1:8" x14ac:dyDescent="0.3">
      <c r="A9" s="7" t="s">
        <v>48</v>
      </c>
      <c r="B9" s="6" t="s">
        <v>5</v>
      </c>
      <c r="C9" s="9"/>
    </row>
    <row r="10" spans="1:8" x14ac:dyDescent="0.3"/>
    <row r="11" spans="1:8" ht="16.2" thickBot="1" x14ac:dyDescent="0.35">
      <c r="A11" s="107" t="s">
        <v>19</v>
      </c>
      <c r="B11" s="108"/>
      <c r="C11" s="109"/>
    </row>
    <row r="12" spans="1:8" x14ac:dyDescent="0.3">
      <c r="A12" s="16" t="s">
        <v>7</v>
      </c>
      <c r="B12" s="6" t="s">
        <v>13</v>
      </c>
      <c r="C12" s="66">
        <v>80</v>
      </c>
      <c r="D12" s="11">
        <f>(ROUND(C12+(C12*$C$19),0))*12</f>
        <v>1104</v>
      </c>
      <c r="E12" s="11">
        <f>ROUND(D12+(D12*$C$19),0)</f>
        <v>1270</v>
      </c>
      <c r="F12" s="11">
        <f>ROUND(E12+(E12*$C$19),0)</f>
        <v>1461</v>
      </c>
      <c r="G12" s="11">
        <f>ROUND(F12+(F12*$C$19),0)</f>
        <v>1680</v>
      </c>
      <c r="H12" s="11">
        <f>ROUND(G12+(G12*$C$19),0)</f>
        <v>1932</v>
      </c>
    </row>
    <row r="13" spans="1:8" x14ac:dyDescent="0.3">
      <c r="A13" s="16" t="s">
        <v>8</v>
      </c>
      <c r="B13" s="6" t="s">
        <v>13</v>
      </c>
      <c r="C13" s="66">
        <v>300</v>
      </c>
      <c r="D13" s="11">
        <f t="shared" ref="D13:D17" si="2">(ROUND(C13+(C13*$C$19),0))*12</f>
        <v>4140</v>
      </c>
      <c r="E13" s="11">
        <f t="shared" ref="E13:H17" si="3">ROUND(D13+(D13*$C$19),0)</f>
        <v>4761</v>
      </c>
      <c r="F13" s="11">
        <f t="shared" si="3"/>
        <v>5475</v>
      </c>
      <c r="G13" s="11">
        <f t="shared" si="3"/>
        <v>6296</v>
      </c>
      <c r="H13" s="11">
        <f t="shared" si="3"/>
        <v>7240</v>
      </c>
    </row>
    <row r="14" spans="1:8" x14ac:dyDescent="0.3">
      <c r="A14" s="16" t="s">
        <v>9</v>
      </c>
      <c r="B14" s="6" t="s">
        <v>13</v>
      </c>
      <c r="C14" s="66">
        <v>70</v>
      </c>
      <c r="D14" s="11">
        <f t="shared" si="2"/>
        <v>972</v>
      </c>
      <c r="E14" s="11">
        <f t="shared" si="3"/>
        <v>1118</v>
      </c>
      <c r="F14" s="11">
        <f t="shared" si="3"/>
        <v>1286</v>
      </c>
      <c r="G14" s="11">
        <f t="shared" si="3"/>
        <v>1479</v>
      </c>
      <c r="H14" s="11">
        <f t="shared" si="3"/>
        <v>1701</v>
      </c>
    </row>
    <row r="15" spans="1:8" x14ac:dyDescent="0.3">
      <c r="A15" s="16" t="s">
        <v>10</v>
      </c>
      <c r="B15" s="6" t="s">
        <v>13</v>
      </c>
      <c r="C15" s="66">
        <v>75</v>
      </c>
      <c r="D15" s="11">
        <f t="shared" si="2"/>
        <v>1032</v>
      </c>
      <c r="E15" s="11">
        <f t="shared" si="3"/>
        <v>1187</v>
      </c>
      <c r="F15" s="11">
        <f t="shared" si="3"/>
        <v>1365</v>
      </c>
      <c r="G15" s="11">
        <f t="shared" si="3"/>
        <v>1570</v>
      </c>
      <c r="H15" s="11">
        <f t="shared" si="3"/>
        <v>1806</v>
      </c>
    </row>
    <row r="16" spans="1:8" x14ac:dyDescent="0.3">
      <c r="A16" s="16" t="s">
        <v>11</v>
      </c>
      <c r="B16" s="6" t="s">
        <v>13</v>
      </c>
      <c r="C16" s="66">
        <v>90</v>
      </c>
      <c r="D16" s="11">
        <f t="shared" si="2"/>
        <v>1248</v>
      </c>
      <c r="E16" s="11">
        <f t="shared" si="3"/>
        <v>1435</v>
      </c>
      <c r="F16" s="11">
        <f t="shared" si="3"/>
        <v>1650</v>
      </c>
      <c r="G16" s="11">
        <f t="shared" si="3"/>
        <v>1898</v>
      </c>
      <c r="H16" s="11">
        <f t="shared" si="3"/>
        <v>2183</v>
      </c>
    </row>
    <row r="17" spans="1:8" x14ac:dyDescent="0.3">
      <c r="A17" s="16" t="s">
        <v>12</v>
      </c>
      <c r="B17" s="6" t="s">
        <v>13</v>
      </c>
      <c r="C17" s="66">
        <v>80</v>
      </c>
      <c r="D17" s="11">
        <f t="shared" si="2"/>
        <v>1104</v>
      </c>
      <c r="E17" s="11">
        <f t="shared" si="3"/>
        <v>1270</v>
      </c>
      <c r="F17" s="11">
        <f t="shared" si="3"/>
        <v>1461</v>
      </c>
      <c r="G17" s="11">
        <f t="shared" si="3"/>
        <v>1680</v>
      </c>
      <c r="H17" s="11">
        <f t="shared" si="3"/>
        <v>1932</v>
      </c>
    </row>
    <row r="18" spans="1:8" x14ac:dyDescent="0.3">
      <c r="A18" s="16"/>
      <c r="C18" s="17"/>
    </row>
    <row r="19" spans="1:8" x14ac:dyDescent="0.3">
      <c r="A19" s="21" t="s">
        <v>17</v>
      </c>
      <c r="B19" s="22" t="s">
        <v>18</v>
      </c>
      <c r="C19" s="67">
        <v>0.15</v>
      </c>
    </row>
    <row r="20" spans="1:8" x14ac:dyDescent="0.3">
      <c r="A20" s="7"/>
      <c r="B20" s="15"/>
      <c r="C20" s="23"/>
    </row>
    <row r="21" spans="1:8" x14ac:dyDescent="0.3"/>
    <row r="22" spans="1:8" ht="16.2" thickBot="1" x14ac:dyDescent="0.35">
      <c r="A22" s="107" t="s">
        <v>14</v>
      </c>
      <c r="B22" s="108"/>
      <c r="C22" s="109"/>
    </row>
    <row r="23" spans="1:8" x14ac:dyDescent="0.3">
      <c r="A23" s="16" t="s">
        <v>7</v>
      </c>
      <c r="B23" s="6" t="s">
        <v>15</v>
      </c>
      <c r="C23" s="68">
        <v>12000</v>
      </c>
      <c r="D23" s="8">
        <f t="shared" ref="D23:D28" si="4">ROUND(C23+(C23*$C$30),0)</f>
        <v>12600</v>
      </c>
      <c r="E23" s="8">
        <f t="shared" ref="E23:H23" si="5">ROUND(D23+(D23*$C$30),0)</f>
        <v>13230</v>
      </c>
      <c r="F23" s="8">
        <f t="shared" si="5"/>
        <v>13892</v>
      </c>
      <c r="G23" s="8">
        <f t="shared" si="5"/>
        <v>14587</v>
      </c>
      <c r="H23" s="8">
        <f t="shared" si="5"/>
        <v>15316</v>
      </c>
    </row>
    <row r="24" spans="1:8" x14ac:dyDescent="0.3">
      <c r="A24" s="16" t="s">
        <v>8</v>
      </c>
      <c r="B24" s="6" t="s">
        <v>15</v>
      </c>
      <c r="C24" s="68">
        <v>25000</v>
      </c>
      <c r="D24" s="8">
        <f t="shared" si="4"/>
        <v>26250</v>
      </c>
      <c r="E24" s="8">
        <f t="shared" ref="E24:H24" si="6">ROUND(D24+(D24*$C$30),0)</f>
        <v>27563</v>
      </c>
      <c r="F24" s="8">
        <f t="shared" si="6"/>
        <v>28941</v>
      </c>
      <c r="G24" s="8">
        <f t="shared" si="6"/>
        <v>30388</v>
      </c>
      <c r="H24" s="8">
        <f t="shared" si="6"/>
        <v>31907</v>
      </c>
    </row>
    <row r="25" spans="1:8" x14ac:dyDescent="0.3">
      <c r="A25" s="16" t="s">
        <v>9</v>
      </c>
      <c r="B25" s="6" t="s">
        <v>15</v>
      </c>
      <c r="C25" s="68">
        <v>35000</v>
      </c>
      <c r="D25" s="8">
        <f t="shared" si="4"/>
        <v>36750</v>
      </c>
      <c r="E25" s="8">
        <f t="shared" ref="E25:H25" si="7">ROUND(D25+(D25*$C$30),0)</f>
        <v>38588</v>
      </c>
      <c r="F25" s="8">
        <f t="shared" si="7"/>
        <v>40517</v>
      </c>
      <c r="G25" s="8">
        <f t="shared" si="7"/>
        <v>42543</v>
      </c>
      <c r="H25" s="8">
        <f t="shared" si="7"/>
        <v>44670</v>
      </c>
    </row>
    <row r="26" spans="1:8" x14ac:dyDescent="0.3">
      <c r="A26" s="16" t="s">
        <v>10</v>
      </c>
      <c r="B26" s="6" t="s">
        <v>15</v>
      </c>
      <c r="C26" s="68">
        <v>14000</v>
      </c>
      <c r="D26" s="8">
        <f t="shared" si="4"/>
        <v>14700</v>
      </c>
      <c r="E26" s="8">
        <f t="shared" ref="E26:H26" si="8">ROUND(D26+(D26*$C$30),0)</f>
        <v>15435</v>
      </c>
      <c r="F26" s="8">
        <f t="shared" si="8"/>
        <v>16207</v>
      </c>
      <c r="G26" s="8">
        <f t="shared" si="8"/>
        <v>17017</v>
      </c>
      <c r="H26" s="8">
        <f t="shared" si="8"/>
        <v>17868</v>
      </c>
    </row>
    <row r="27" spans="1:8" x14ac:dyDescent="0.3">
      <c r="A27" s="16" t="s">
        <v>11</v>
      </c>
      <c r="B27" s="6" t="s">
        <v>15</v>
      </c>
      <c r="C27" s="68">
        <v>40000</v>
      </c>
      <c r="D27" s="8">
        <f t="shared" si="4"/>
        <v>42000</v>
      </c>
      <c r="E27" s="8">
        <f t="shared" ref="E27:H27" si="9">ROUND(D27+(D27*$C$30),0)</f>
        <v>44100</v>
      </c>
      <c r="F27" s="8">
        <f t="shared" si="9"/>
        <v>46305</v>
      </c>
      <c r="G27" s="8">
        <f t="shared" si="9"/>
        <v>48620</v>
      </c>
      <c r="H27" s="8">
        <f t="shared" si="9"/>
        <v>51051</v>
      </c>
    </row>
    <row r="28" spans="1:8" x14ac:dyDescent="0.3">
      <c r="A28" s="16" t="s">
        <v>12</v>
      </c>
      <c r="B28" s="6" t="s">
        <v>15</v>
      </c>
      <c r="C28" s="68">
        <v>30000</v>
      </c>
      <c r="D28" s="8">
        <f t="shared" si="4"/>
        <v>31500</v>
      </c>
      <c r="E28" s="8">
        <f t="shared" ref="E28:H28" si="10">ROUND(D28+(D28*$C$30),0)</f>
        <v>33075</v>
      </c>
      <c r="F28" s="8">
        <f t="shared" si="10"/>
        <v>34729</v>
      </c>
      <c r="G28" s="8">
        <f t="shared" si="10"/>
        <v>36465</v>
      </c>
      <c r="H28" s="8">
        <f t="shared" si="10"/>
        <v>38288</v>
      </c>
    </row>
    <row r="29" spans="1:8" x14ac:dyDescent="0.3">
      <c r="A29" s="16"/>
      <c r="C29" s="20"/>
    </row>
    <row r="30" spans="1:8" x14ac:dyDescent="0.3">
      <c r="A30" s="21" t="s">
        <v>47</v>
      </c>
      <c r="B30" s="22" t="s">
        <v>18</v>
      </c>
      <c r="C30" s="67">
        <v>0.05</v>
      </c>
    </row>
    <row r="31" spans="1:8" x14ac:dyDescent="0.3">
      <c r="C31" s="9"/>
    </row>
    <row r="32" spans="1:8" x14ac:dyDescent="0.3">
      <c r="C32" s="9"/>
    </row>
    <row r="33" spans="1:8" ht="16.2" thickBot="1" x14ac:dyDescent="0.35">
      <c r="A33" s="107" t="s">
        <v>106</v>
      </c>
      <c r="B33" s="108"/>
      <c r="C33" s="109"/>
    </row>
    <row r="34" spans="1:8" x14ac:dyDescent="0.3">
      <c r="A34" s="16" t="s">
        <v>7</v>
      </c>
      <c r="B34" s="6" t="s">
        <v>15</v>
      </c>
      <c r="C34" s="20">
        <f t="shared" ref="C34:D39" si="11">C12*C23</f>
        <v>960000</v>
      </c>
      <c r="D34" s="9">
        <f t="shared" si="11"/>
        <v>13910400</v>
      </c>
      <c r="E34" s="9">
        <f t="shared" ref="E34:H34" si="12">E12*E23</f>
        <v>16802100</v>
      </c>
      <c r="F34" s="9">
        <f t="shared" si="12"/>
        <v>20296212</v>
      </c>
      <c r="G34" s="9">
        <f t="shared" si="12"/>
        <v>24506160</v>
      </c>
      <c r="H34" s="9">
        <f t="shared" si="12"/>
        <v>29590512</v>
      </c>
    </row>
    <row r="35" spans="1:8" x14ac:dyDescent="0.3">
      <c r="A35" s="16" t="s">
        <v>8</v>
      </c>
      <c r="B35" s="6" t="s">
        <v>15</v>
      </c>
      <c r="C35" s="20">
        <f t="shared" si="11"/>
        <v>7500000</v>
      </c>
      <c r="D35" s="9">
        <f t="shared" si="11"/>
        <v>108675000</v>
      </c>
      <c r="E35" s="9">
        <f t="shared" ref="E35:H35" si="13">E13*E24</f>
        <v>131227443</v>
      </c>
      <c r="F35" s="9">
        <f t="shared" si="13"/>
        <v>158451975</v>
      </c>
      <c r="G35" s="9">
        <f t="shared" si="13"/>
        <v>191322848</v>
      </c>
      <c r="H35" s="9">
        <f t="shared" si="13"/>
        <v>231006680</v>
      </c>
    </row>
    <row r="36" spans="1:8" x14ac:dyDescent="0.3">
      <c r="A36" s="16" t="s">
        <v>9</v>
      </c>
      <c r="B36" s="6" t="s">
        <v>15</v>
      </c>
      <c r="C36" s="20">
        <f t="shared" si="11"/>
        <v>2450000</v>
      </c>
      <c r="D36" s="9">
        <f t="shared" si="11"/>
        <v>35721000</v>
      </c>
      <c r="E36" s="9">
        <f t="shared" ref="E36:H36" si="14">E14*E25</f>
        <v>43141384</v>
      </c>
      <c r="F36" s="9">
        <f t="shared" si="14"/>
        <v>52104862</v>
      </c>
      <c r="G36" s="9">
        <f t="shared" si="14"/>
        <v>62921097</v>
      </c>
      <c r="H36" s="9">
        <f t="shared" si="14"/>
        <v>75983670</v>
      </c>
    </row>
    <row r="37" spans="1:8" x14ac:dyDescent="0.3">
      <c r="A37" s="16" t="s">
        <v>10</v>
      </c>
      <c r="B37" s="6" t="s">
        <v>15</v>
      </c>
      <c r="C37" s="20">
        <f t="shared" si="11"/>
        <v>1050000</v>
      </c>
      <c r="D37" s="9">
        <f t="shared" si="11"/>
        <v>15170400</v>
      </c>
      <c r="E37" s="9">
        <f t="shared" ref="E37:H37" si="15">E15*E26</f>
        <v>18321345</v>
      </c>
      <c r="F37" s="9">
        <f t="shared" si="15"/>
        <v>22122555</v>
      </c>
      <c r="G37" s="9">
        <f t="shared" si="15"/>
        <v>26716690</v>
      </c>
      <c r="H37" s="9">
        <f t="shared" si="15"/>
        <v>32269608</v>
      </c>
    </row>
    <row r="38" spans="1:8" x14ac:dyDescent="0.3">
      <c r="A38" s="16" t="s">
        <v>11</v>
      </c>
      <c r="B38" s="6" t="s">
        <v>15</v>
      </c>
      <c r="C38" s="20">
        <f t="shared" si="11"/>
        <v>3600000</v>
      </c>
      <c r="D38" s="9">
        <f t="shared" si="11"/>
        <v>52416000</v>
      </c>
      <c r="E38" s="9">
        <f t="shared" ref="E38:H38" si="16">E16*E27</f>
        <v>63283500</v>
      </c>
      <c r="F38" s="9">
        <f t="shared" si="16"/>
        <v>76403250</v>
      </c>
      <c r="G38" s="9">
        <f t="shared" si="16"/>
        <v>92280760</v>
      </c>
      <c r="H38" s="9">
        <f t="shared" si="16"/>
        <v>111444333</v>
      </c>
    </row>
    <row r="39" spans="1:8" x14ac:dyDescent="0.3">
      <c r="A39" s="18" t="s">
        <v>12</v>
      </c>
      <c r="B39" s="19" t="s">
        <v>15</v>
      </c>
      <c r="C39" s="101">
        <f t="shared" si="11"/>
        <v>2400000</v>
      </c>
      <c r="D39" s="9">
        <f t="shared" si="11"/>
        <v>34776000</v>
      </c>
      <c r="E39" s="9">
        <f t="shared" ref="E39:H39" si="17">E17*E28</f>
        <v>42005250</v>
      </c>
      <c r="F39" s="9">
        <f t="shared" si="17"/>
        <v>50739069</v>
      </c>
      <c r="G39" s="9">
        <f t="shared" si="17"/>
        <v>61261200</v>
      </c>
      <c r="H39" s="9">
        <f t="shared" si="17"/>
        <v>73972416</v>
      </c>
    </row>
    <row r="40" spans="1:8" x14ac:dyDescent="0.3">
      <c r="A40" s="5" t="s">
        <v>134</v>
      </c>
      <c r="C40" s="26">
        <f t="shared" ref="C40:H40" si="18">SUM(C34:C39)</f>
        <v>17960000</v>
      </c>
      <c r="D40" s="8">
        <f t="shared" si="18"/>
        <v>260668800</v>
      </c>
      <c r="E40" s="8">
        <f t="shared" si="18"/>
        <v>314781022</v>
      </c>
      <c r="F40" s="8">
        <f t="shared" si="18"/>
        <v>380117923</v>
      </c>
      <c r="G40" s="8">
        <f t="shared" si="18"/>
        <v>459008755</v>
      </c>
      <c r="H40" s="8">
        <f t="shared" si="18"/>
        <v>554267219</v>
      </c>
    </row>
    <row r="41" spans="1:8" x14ac:dyDescent="0.3"/>
    <row r="42" spans="1:8" ht="16.2" thickBot="1" x14ac:dyDescent="0.35">
      <c r="A42" s="107" t="s">
        <v>105</v>
      </c>
      <c r="B42" s="108"/>
      <c r="C42" s="109"/>
    </row>
    <row r="43" spans="1:8" x14ac:dyDescent="0.3">
      <c r="A43" s="16" t="s">
        <v>7</v>
      </c>
      <c r="B43" s="6" t="s">
        <v>16</v>
      </c>
      <c r="C43" s="69">
        <v>0.25</v>
      </c>
      <c r="D43" s="24">
        <f>C43</f>
        <v>0.25</v>
      </c>
      <c r="E43" s="24">
        <f>D43</f>
        <v>0.25</v>
      </c>
      <c r="F43" s="24">
        <f>E43</f>
        <v>0.25</v>
      </c>
      <c r="G43" s="24">
        <f>F43</f>
        <v>0.25</v>
      </c>
      <c r="H43" s="24">
        <f>G43</f>
        <v>0.25</v>
      </c>
    </row>
    <row r="44" spans="1:8" x14ac:dyDescent="0.3">
      <c r="A44" s="16" t="s">
        <v>8</v>
      </c>
      <c r="B44" s="6" t="s">
        <v>16</v>
      </c>
      <c r="C44" s="69">
        <v>0.15</v>
      </c>
      <c r="D44" s="24">
        <f>C44</f>
        <v>0.15</v>
      </c>
      <c r="E44" s="24">
        <f t="shared" ref="E44:H44" si="19">D44</f>
        <v>0.15</v>
      </c>
      <c r="F44" s="24">
        <f t="shared" si="19"/>
        <v>0.15</v>
      </c>
      <c r="G44" s="24">
        <f t="shared" si="19"/>
        <v>0.15</v>
      </c>
      <c r="H44" s="24">
        <f t="shared" si="19"/>
        <v>0.15</v>
      </c>
    </row>
    <row r="45" spans="1:8" x14ac:dyDescent="0.3">
      <c r="A45" s="16" t="s">
        <v>9</v>
      </c>
      <c r="B45" s="6" t="s">
        <v>16</v>
      </c>
      <c r="C45" s="69">
        <v>0.2</v>
      </c>
      <c r="D45" s="24">
        <f>C45</f>
        <v>0.2</v>
      </c>
      <c r="E45" s="24">
        <f t="shared" ref="E45:H45" si="20">D45</f>
        <v>0.2</v>
      </c>
      <c r="F45" s="24">
        <f t="shared" si="20"/>
        <v>0.2</v>
      </c>
      <c r="G45" s="24">
        <f t="shared" si="20"/>
        <v>0.2</v>
      </c>
      <c r="H45" s="24">
        <f t="shared" si="20"/>
        <v>0.2</v>
      </c>
    </row>
    <row r="46" spans="1:8" x14ac:dyDescent="0.3">
      <c r="A46" s="16" t="s">
        <v>10</v>
      </c>
      <c r="B46" s="6" t="s">
        <v>16</v>
      </c>
      <c r="C46" s="69">
        <v>0.2</v>
      </c>
      <c r="D46" s="24">
        <f>C46</f>
        <v>0.2</v>
      </c>
      <c r="E46" s="24">
        <f t="shared" ref="E46:H46" si="21">D46</f>
        <v>0.2</v>
      </c>
      <c r="F46" s="24">
        <f t="shared" si="21"/>
        <v>0.2</v>
      </c>
      <c r="G46" s="24">
        <f t="shared" si="21"/>
        <v>0.2</v>
      </c>
      <c r="H46" s="24">
        <f t="shared" si="21"/>
        <v>0.2</v>
      </c>
    </row>
    <row r="47" spans="1:8" x14ac:dyDescent="0.3">
      <c r="A47" s="16" t="s">
        <v>11</v>
      </c>
      <c r="B47" s="6" t="s">
        <v>16</v>
      </c>
      <c r="C47" s="69">
        <v>0.18</v>
      </c>
      <c r="D47" s="24">
        <f>C47</f>
        <v>0.18</v>
      </c>
      <c r="E47" s="24">
        <f t="shared" ref="E47:H47" si="22">D47</f>
        <v>0.18</v>
      </c>
      <c r="F47" s="24">
        <f t="shared" si="22"/>
        <v>0.18</v>
      </c>
      <c r="G47" s="24">
        <f t="shared" si="22"/>
        <v>0.18</v>
      </c>
      <c r="H47" s="24">
        <f t="shared" si="22"/>
        <v>0.18</v>
      </c>
    </row>
    <row r="48" spans="1:8" x14ac:dyDescent="0.3">
      <c r="A48" s="18" t="s">
        <v>12</v>
      </c>
      <c r="B48" s="19" t="s">
        <v>16</v>
      </c>
      <c r="C48" s="70">
        <v>0.15</v>
      </c>
      <c r="D48" s="24">
        <f>C48</f>
        <v>0.15</v>
      </c>
      <c r="E48" s="24">
        <f t="shared" ref="E48:H48" si="23">D48</f>
        <v>0.15</v>
      </c>
      <c r="F48" s="24">
        <f t="shared" si="23"/>
        <v>0.15</v>
      </c>
      <c r="G48" s="24">
        <f t="shared" si="23"/>
        <v>0.15</v>
      </c>
      <c r="H48" s="24">
        <f t="shared" si="23"/>
        <v>0.15</v>
      </c>
    </row>
    <row r="49" spans="1:8" x14ac:dyDescent="0.3"/>
    <row r="50" spans="1:8" ht="15.6" x14ac:dyDescent="0.3">
      <c r="A50" s="12" t="s">
        <v>49</v>
      </c>
      <c r="B50" s="12"/>
      <c r="C50" s="12"/>
    </row>
    <row r="51" spans="1:8" x14ac:dyDescent="0.3">
      <c r="A51" s="5" t="s">
        <v>20</v>
      </c>
      <c r="B51" s="6" t="s">
        <v>22</v>
      </c>
      <c r="C51" s="64">
        <v>12000</v>
      </c>
      <c r="D51" s="8">
        <f>C51</f>
        <v>12000</v>
      </c>
      <c r="E51" s="8">
        <f t="shared" ref="E51:H51" si="24">D51</f>
        <v>12000</v>
      </c>
      <c r="F51" s="8">
        <f t="shared" si="24"/>
        <v>12000</v>
      </c>
      <c r="G51" s="8">
        <f t="shared" si="24"/>
        <v>12000</v>
      </c>
      <c r="H51" s="8">
        <f t="shared" si="24"/>
        <v>12000</v>
      </c>
    </row>
    <row r="52" spans="1:8" x14ac:dyDescent="0.3">
      <c r="A52" s="5" t="s">
        <v>21</v>
      </c>
      <c r="B52" s="6" t="s">
        <v>22</v>
      </c>
      <c r="C52" s="64">
        <v>18000</v>
      </c>
      <c r="D52" s="8">
        <f>C52</f>
        <v>18000</v>
      </c>
      <c r="E52" s="8">
        <f t="shared" ref="E52:H52" si="25">D52</f>
        <v>18000</v>
      </c>
      <c r="F52" s="8">
        <f t="shared" si="25"/>
        <v>18000</v>
      </c>
      <c r="G52" s="8">
        <f t="shared" si="25"/>
        <v>18000</v>
      </c>
      <c r="H52" s="8">
        <f t="shared" si="25"/>
        <v>18000</v>
      </c>
    </row>
    <row r="53" spans="1:8" x14ac:dyDescent="0.3"/>
    <row r="54" spans="1:8" ht="16.2" thickBot="1" x14ac:dyDescent="0.35">
      <c r="A54" s="107" t="s">
        <v>23</v>
      </c>
      <c r="B54" s="108"/>
      <c r="C54" s="109"/>
    </row>
    <row r="55" spans="1:8" x14ac:dyDescent="0.3">
      <c r="A55" s="16" t="s">
        <v>24</v>
      </c>
      <c r="B55" s="6" t="s">
        <v>13</v>
      </c>
      <c r="C55" s="66">
        <v>3</v>
      </c>
      <c r="D55" s="8">
        <f>C55+(C55*20%)</f>
        <v>3.6</v>
      </c>
      <c r="E55" s="8">
        <f t="shared" ref="E55:H55" si="26">D55+(D55*20%)</f>
        <v>4.32</v>
      </c>
      <c r="F55" s="8">
        <f t="shared" si="26"/>
        <v>5.1840000000000002</v>
      </c>
      <c r="G55" s="8">
        <f t="shared" si="26"/>
        <v>6.2208000000000006</v>
      </c>
      <c r="H55" s="8">
        <f t="shared" si="26"/>
        <v>7.4649600000000005</v>
      </c>
    </row>
    <row r="56" spans="1:8" x14ac:dyDescent="0.3">
      <c r="A56" s="16" t="s">
        <v>25</v>
      </c>
      <c r="B56" s="6" t="s">
        <v>13</v>
      </c>
      <c r="C56" s="66">
        <v>10</v>
      </c>
      <c r="D56" s="8">
        <f>C56+(C56*20%)</f>
        <v>12</v>
      </c>
      <c r="E56" s="8">
        <f t="shared" ref="E56:H56" si="27">D56+(D56*20%)</f>
        <v>14.4</v>
      </c>
      <c r="F56" s="8">
        <f t="shared" si="27"/>
        <v>17.28</v>
      </c>
      <c r="G56" s="8">
        <f t="shared" si="27"/>
        <v>20.736000000000001</v>
      </c>
      <c r="H56" s="8">
        <f t="shared" si="27"/>
        <v>24.883200000000002</v>
      </c>
    </row>
    <row r="57" spans="1:8" x14ac:dyDescent="0.3">
      <c r="A57" s="16" t="s">
        <v>26</v>
      </c>
      <c r="B57" s="6" t="s">
        <v>13</v>
      </c>
      <c r="C57" s="66">
        <v>3</v>
      </c>
      <c r="D57" s="8">
        <f>C57+(C57*20%)</f>
        <v>3.6</v>
      </c>
      <c r="E57" s="8">
        <f t="shared" ref="E57:H57" si="28">D57+(D57*20%)</f>
        <v>4.32</v>
      </c>
      <c r="F57" s="8">
        <f t="shared" si="28"/>
        <v>5.1840000000000002</v>
      </c>
      <c r="G57" s="8">
        <f t="shared" si="28"/>
        <v>6.2208000000000006</v>
      </c>
      <c r="H57" s="8">
        <f t="shared" si="28"/>
        <v>7.4649600000000005</v>
      </c>
    </row>
    <row r="58" spans="1:8" x14ac:dyDescent="0.3">
      <c r="A58" s="18" t="s">
        <v>21</v>
      </c>
      <c r="B58" s="19" t="s">
        <v>13</v>
      </c>
      <c r="C58" s="71">
        <v>3</v>
      </c>
      <c r="D58" s="8">
        <f>C58+(C58*20%)</f>
        <v>3.6</v>
      </c>
      <c r="E58" s="8">
        <f t="shared" ref="E58:H58" si="29">D58+(D58*20%)</f>
        <v>4.32</v>
      </c>
      <c r="F58" s="8">
        <f t="shared" si="29"/>
        <v>5.1840000000000002</v>
      </c>
      <c r="G58" s="8">
        <f t="shared" si="29"/>
        <v>6.2208000000000006</v>
      </c>
      <c r="H58" s="8">
        <f t="shared" si="29"/>
        <v>7.4649600000000005</v>
      </c>
    </row>
    <row r="59" spans="1:8" x14ac:dyDescent="0.3">
      <c r="A59" s="5" t="s">
        <v>131</v>
      </c>
      <c r="C59" s="33"/>
    </row>
    <row r="60" spans="1:8" ht="16.2" thickBot="1" x14ac:dyDescent="0.35">
      <c r="A60" s="107" t="s">
        <v>33</v>
      </c>
      <c r="B60" s="108"/>
      <c r="C60" s="109"/>
    </row>
    <row r="61" spans="1:8" x14ac:dyDescent="0.3">
      <c r="A61" s="16" t="s">
        <v>24</v>
      </c>
      <c r="B61" s="6" t="s">
        <v>34</v>
      </c>
      <c r="C61" s="68">
        <v>40000</v>
      </c>
      <c r="D61" s="8">
        <f>C61+(C61*$C$66)</f>
        <v>43200</v>
      </c>
      <c r="E61" s="8">
        <f t="shared" ref="E61:H61" si="30">D61+(D61*$C$66)</f>
        <v>46656</v>
      </c>
      <c r="F61" s="8">
        <f t="shared" si="30"/>
        <v>50388.480000000003</v>
      </c>
      <c r="G61" s="8">
        <f t="shared" si="30"/>
        <v>54419.558400000002</v>
      </c>
      <c r="H61" s="8">
        <f t="shared" si="30"/>
        <v>58773.123072000002</v>
      </c>
    </row>
    <row r="62" spans="1:8" x14ac:dyDescent="0.3">
      <c r="A62" s="16" t="s">
        <v>25</v>
      </c>
      <c r="B62" s="6" t="s">
        <v>34</v>
      </c>
      <c r="C62" s="68">
        <v>25000</v>
      </c>
      <c r="D62" s="8">
        <f>C62+(C62*$C$66)</f>
        <v>27000</v>
      </c>
      <c r="E62" s="8">
        <f t="shared" ref="E62:H62" si="31">D62+(D62*$C$66)</f>
        <v>29160</v>
      </c>
      <c r="F62" s="8">
        <f t="shared" si="31"/>
        <v>31492.799999999999</v>
      </c>
      <c r="G62" s="8">
        <f t="shared" si="31"/>
        <v>34012.224000000002</v>
      </c>
      <c r="H62" s="8">
        <f t="shared" si="31"/>
        <v>36733.20192</v>
      </c>
    </row>
    <row r="63" spans="1:8" x14ac:dyDescent="0.3">
      <c r="A63" s="16" t="s">
        <v>26</v>
      </c>
      <c r="B63" s="6" t="s">
        <v>34</v>
      </c>
      <c r="C63" s="68">
        <v>18000</v>
      </c>
      <c r="D63" s="8">
        <f>C63+(C63*$C$66)</f>
        <v>19440</v>
      </c>
      <c r="E63" s="8">
        <f t="shared" ref="E63:H63" si="32">D63+(D63*$C$66)</f>
        <v>20995.200000000001</v>
      </c>
      <c r="F63" s="8">
        <f t="shared" si="32"/>
        <v>22674.815999999999</v>
      </c>
      <c r="G63" s="8">
        <f t="shared" si="32"/>
        <v>24488.80128</v>
      </c>
      <c r="H63" s="8">
        <f t="shared" si="32"/>
        <v>26447.9053824</v>
      </c>
    </row>
    <row r="64" spans="1:8" x14ac:dyDescent="0.3">
      <c r="A64" s="16" t="s">
        <v>21</v>
      </c>
      <c r="B64" s="6" t="s">
        <v>34</v>
      </c>
      <c r="C64" s="68">
        <v>18000</v>
      </c>
      <c r="D64" s="8">
        <f>C64+(C64*$C$66)</f>
        <v>19440</v>
      </c>
      <c r="E64" s="8">
        <f t="shared" ref="E64:H64" si="33">D64+(D64*$C$66)</f>
        <v>20995.200000000001</v>
      </c>
      <c r="F64" s="8">
        <f t="shared" si="33"/>
        <v>22674.815999999999</v>
      </c>
      <c r="G64" s="8">
        <f t="shared" si="33"/>
        <v>24488.80128</v>
      </c>
      <c r="H64" s="8">
        <f t="shared" si="33"/>
        <v>26447.9053824</v>
      </c>
    </row>
    <row r="65" spans="1:8" x14ac:dyDescent="0.3">
      <c r="A65" s="16" t="s">
        <v>136</v>
      </c>
      <c r="C65" s="20"/>
      <c r="D65" s="8">
        <f>((D61*D55)+(D56*D62)+(D57*D63)+(D58*D64))*12</f>
        <v>7433856</v>
      </c>
      <c r="E65" s="8">
        <f>((E61*E55)+(E56*E62)+(E57*E63)+(E58*E64))*12</f>
        <v>9634277.3760000002</v>
      </c>
      <c r="F65" s="8">
        <f>((F61*F55)+(F56*F62)+(F57*F63)+(F58*F64))*12</f>
        <v>12486023.479295999</v>
      </c>
      <c r="G65" s="8">
        <f>((G61*G55)+(G56*G62)+(G57*G63)+(G58*G64))*12</f>
        <v>16181886.429167619</v>
      </c>
      <c r="H65" s="8">
        <f>((H61*H55)+(H56*H62)+(H57*H63)+(H58*H64))*12</f>
        <v>20971724.812201232</v>
      </c>
    </row>
    <row r="66" spans="1:8" x14ac:dyDescent="0.3">
      <c r="A66" s="21" t="s">
        <v>35</v>
      </c>
      <c r="B66" s="22" t="s">
        <v>18</v>
      </c>
      <c r="C66" s="67">
        <v>0.08</v>
      </c>
    </row>
    <row r="67" spans="1:8" x14ac:dyDescent="0.3"/>
    <row r="68" spans="1:8" ht="15.6" x14ac:dyDescent="0.3">
      <c r="A68" s="110" t="s">
        <v>27</v>
      </c>
      <c r="B68" s="110"/>
      <c r="C68" s="110"/>
    </row>
    <row r="69" spans="1:8" x14ac:dyDescent="0.3">
      <c r="A69" s="5" t="s">
        <v>28</v>
      </c>
      <c r="B69" s="6" t="s">
        <v>29</v>
      </c>
      <c r="C69" s="72">
        <v>80</v>
      </c>
      <c r="D69" s="11"/>
      <c r="E69" s="11"/>
      <c r="F69" s="11"/>
      <c r="G69" s="11"/>
      <c r="H69" s="11"/>
    </row>
    <row r="70" spans="1:8" x14ac:dyDescent="0.3">
      <c r="A70" s="5" t="s">
        <v>31</v>
      </c>
      <c r="B70" s="6" t="s">
        <v>30</v>
      </c>
      <c r="C70" s="72">
        <v>12</v>
      </c>
    </row>
    <row r="71" spans="1:8" x14ac:dyDescent="0.3"/>
    <row r="72" spans="1:8" x14ac:dyDescent="0.3">
      <c r="A72" s="5" t="s">
        <v>32</v>
      </c>
      <c r="B72" s="6" t="s">
        <v>29</v>
      </c>
      <c r="C72" s="72">
        <v>40</v>
      </c>
    </row>
    <row r="73" spans="1:8" x14ac:dyDescent="0.3">
      <c r="A73" s="5" t="s">
        <v>31</v>
      </c>
      <c r="B73" s="6" t="s">
        <v>30</v>
      </c>
      <c r="C73" s="72">
        <v>12</v>
      </c>
    </row>
    <row r="74" spans="1:8" x14ac:dyDescent="0.3">
      <c r="C74" s="74"/>
    </row>
    <row r="75" spans="1:8" x14ac:dyDescent="0.3">
      <c r="A75" s="5" t="s">
        <v>28</v>
      </c>
      <c r="B75" s="6" t="s">
        <v>55</v>
      </c>
      <c r="C75" s="103">
        <f>C51*C69*C70</f>
        <v>11520000</v>
      </c>
      <c r="D75" s="8">
        <f t="shared" ref="D75:H76" si="34">C75+(C75*$C$83)</f>
        <v>12326400</v>
      </c>
      <c r="E75" s="8">
        <f t="shared" si="34"/>
        <v>13189248</v>
      </c>
      <c r="F75" s="8">
        <f t="shared" si="34"/>
        <v>14112495.359999999</v>
      </c>
      <c r="G75" s="8">
        <f t="shared" si="34"/>
        <v>15100370.0352</v>
      </c>
      <c r="H75" s="8">
        <f t="shared" si="34"/>
        <v>16157395.937664</v>
      </c>
    </row>
    <row r="76" spans="1:8" x14ac:dyDescent="0.3">
      <c r="A76" s="5" t="s">
        <v>32</v>
      </c>
      <c r="B76" s="6" t="s">
        <v>55</v>
      </c>
      <c r="C76" s="26">
        <f>C52*C72*C73</f>
        <v>8640000</v>
      </c>
      <c r="D76" s="8">
        <f t="shared" si="34"/>
        <v>9244800</v>
      </c>
      <c r="E76" s="8">
        <f t="shared" si="34"/>
        <v>9891936</v>
      </c>
      <c r="F76" s="8">
        <f t="shared" si="34"/>
        <v>10584371.52</v>
      </c>
      <c r="G76" s="8">
        <f t="shared" si="34"/>
        <v>11325277.5264</v>
      </c>
      <c r="H76" s="8">
        <f t="shared" si="34"/>
        <v>12118046.953248</v>
      </c>
    </row>
    <row r="77" spans="1:8" x14ac:dyDescent="0.3"/>
    <row r="78" spans="1:8" x14ac:dyDescent="0.3">
      <c r="A78" s="5" t="s">
        <v>52</v>
      </c>
      <c r="B78" s="6" t="s">
        <v>15</v>
      </c>
      <c r="C78" s="9"/>
      <c r="D78" s="9"/>
    </row>
    <row r="79" spans="1:8" x14ac:dyDescent="0.3">
      <c r="A79" s="5" t="s">
        <v>50</v>
      </c>
      <c r="B79" s="6" t="s">
        <v>18</v>
      </c>
      <c r="C79" s="65">
        <v>0.12</v>
      </c>
      <c r="D79" s="8">
        <f>AS!C8</f>
        <v>2400000</v>
      </c>
      <c r="E79" s="8">
        <f>AS!D8</f>
        <v>2112000</v>
      </c>
      <c r="F79" s="8">
        <f>AS!E8</f>
        <v>1858560</v>
      </c>
      <c r="G79" s="8">
        <f>AS!F8</f>
        <v>1635532.8</v>
      </c>
      <c r="H79" s="8">
        <f>AS!G8</f>
        <v>1439268.8639999998</v>
      </c>
    </row>
    <row r="80" spans="1:8" x14ac:dyDescent="0.3"/>
    <row r="81" spans="1:8" x14ac:dyDescent="0.3">
      <c r="A81" s="13" t="s">
        <v>122</v>
      </c>
      <c r="B81" s="6" t="s">
        <v>18</v>
      </c>
      <c r="C81" s="65">
        <v>0.2</v>
      </c>
    </row>
    <row r="82" spans="1:8" x14ac:dyDescent="0.3"/>
    <row r="83" spans="1:8" x14ac:dyDescent="0.3">
      <c r="A83" s="5" t="s">
        <v>36</v>
      </c>
      <c r="B83" s="6" t="s">
        <v>18</v>
      </c>
      <c r="C83" s="65">
        <v>7.0000000000000007E-2</v>
      </c>
    </row>
    <row r="84" spans="1:8" x14ac:dyDescent="0.3"/>
    <row r="85" spans="1:8" x14ac:dyDescent="0.3">
      <c r="A85" s="5" t="s">
        <v>37</v>
      </c>
      <c r="B85" s="6" t="s">
        <v>18</v>
      </c>
      <c r="C85" s="65">
        <v>0.3</v>
      </c>
    </row>
    <row r="86" spans="1:8" x14ac:dyDescent="0.3">
      <c r="C86" s="10"/>
    </row>
    <row r="87" spans="1:8" ht="15.6" x14ac:dyDescent="0.3">
      <c r="A87" s="110" t="s">
        <v>51</v>
      </c>
      <c r="B87" s="110"/>
      <c r="C87" s="110"/>
    </row>
    <row r="88" spans="1:8" x14ac:dyDescent="0.3">
      <c r="A88" s="5" t="s">
        <v>61</v>
      </c>
      <c r="B88" s="6" t="s">
        <v>15</v>
      </c>
      <c r="C88" s="64">
        <v>20000000</v>
      </c>
    </row>
    <row r="89" spans="1:8" x14ac:dyDescent="0.3">
      <c r="A89" s="5" t="s">
        <v>62</v>
      </c>
      <c r="B89" s="6" t="s">
        <v>15</v>
      </c>
      <c r="C89" s="26">
        <f>C75</f>
        <v>11520000</v>
      </c>
    </row>
    <row r="90" spans="1:8" x14ac:dyDescent="0.3">
      <c r="A90" s="5" t="s">
        <v>63</v>
      </c>
      <c r="B90" s="6" t="s">
        <v>15</v>
      </c>
      <c r="C90" s="26">
        <f>C76</f>
        <v>8640000</v>
      </c>
    </row>
    <row r="91" spans="1:8" x14ac:dyDescent="0.3">
      <c r="C91" s="26"/>
    </row>
    <row r="92" spans="1:8" ht="15.6" x14ac:dyDescent="0.3">
      <c r="A92" s="110" t="s">
        <v>38</v>
      </c>
      <c r="B92" s="110"/>
      <c r="C92" s="110"/>
    </row>
    <row r="93" spans="1:8" x14ac:dyDescent="0.3">
      <c r="A93" s="5" t="s">
        <v>39</v>
      </c>
      <c r="B93" s="6" t="s">
        <v>40</v>
      </c>
      <c r="C93" s="104" t="s">
        <v>135</v>
      </c>
    </row>
    <row r="94" spans="1:8" x14ac:dyDescent="0.3">
      <c r="A94" s="5" t="s">
        <v>41</v>
      </c>
      <c r="B94" s="6" t="s">
        <v>42</v>
      </c>
      <c r="C94" s="72">
        <v>5</v>
      </c>
      <c r="D94" s="24"/>
      <c r="E94" s="24"/>
      <c r="F94" s="24"/>
      <c r="G94" s="24"/>
      <c r="H94" s="24"/>
    </row>
    <row r="95" spans="1:8" x14ac:dyDescent="0.3">
      <c r="A95" s="5" t="s">
        <v>43</v>
      </c>
      <c r="B95" s="6" t="s">
        <v>18</v>
      </c>
      <c r="C95" s="65">
        <v>0.14000000000000001</v>
      </c>
      <c r="D95" s="25"/>
      <c r="E95" s="25"/>
      <c r="F95" s="25"/>
      <c r="G95" s="25"/>
      <c r="H95" s="25"/>
    </row>
    <row r="96" spans="1:8" x14ac:dyDescent="0.3">
      <c r="A96" s="5" t="s">
        <v>44</v>
      </c>
      <c r="B96" s="6" t="s">
        <v>16</v>
      </c>
      <c r="C96" s="65">
        <v>0.4</v>
      </c>
    </row>
    <row r="97" spans="1:8" x14ac:dyDescent="0.3">
      <c r="A97" s="5" t="s">
        <v>45</v>
      </c>
      <c r="B97" s="6" t="s">
        <v>16</v>
      </c>
      <c r="C97" s="65">
        <v>0.6</v>
      </c>
    </row>
    <row r="98" spans="1:8" x14ac:dyDescent="0.3">
      <c r="A98" s="5" t="s">
        <v>53</v>
      </c>
      <c r="B98" s="6" t="s">
        <v>3</v>
      </c>
      <c r="C98" s="63">
        <v>45017</v>
      </c>
    </row>
    <row r="99" spans="1:8" x14ac:dyDescent="0.3">
      <c r="C99" s="10"/>
    </row>
    <row r="100" spans="1:8" x14ac:dyDescent="0.3">
      <c r="A100" s="13" t="s">
        <v>64</v>
      </c>
      <c r="B100" s="6" t="s">
        <v>15</v>
      </c>
      <c r="C100" s="26">
        <f>SUM(C88:C90)</f>
        <v>40160000</v>
      </c>
    </row>
    <row r="101" spans="1:8" x14ac:dyDescent="0.3">
      <c r="A101" s="5" t="s">
        <v>45</v>
      </c>
      <c r="B101" s="6" t="s">
        <v>15</v>
      </c>
      <c r="C101" s="39">
        <f>C100*C97</f>
        <v>24096000</v>
      </c>
    </row>
    <row r="102" spans="1:8" x14ac:dyDescent="0.3">
      <c r="A102" s="13" t="s">
        <v>44</v>
      </c>
      <c r="B102" s="15"/>
      <c r="C102" s="9">
        <f>C100*C96</f>
        <v>16064000</v>
      </c>
    </row>
    <row r="103" spans="1:8" x14ac:dyDescent="0.3">
      <c r="A103" s="31"/>
      <c r="B103" s="15"/>
      <c r="C103" s="32"/>
    </row>
    <row r="104" spans="1:8" x14ac:dyDescent="0.3">
      <c r="A104" s="31" t="s">
        <v>132</v>
      </c>
      <c r="B104" s="15" t="s">
        <v>16</v>
      </c>
      <c r="C104" s="73">
        <v>0.2</v>
      </c>
    </row>
    <row r="105" spans="1:8" x14ac:dyDescent="0.3">
      <c r="C105" s="14"/>
    </row>
    <row r="106" spans="1:8" x14ac:dyDescent="0.3"/>
    <row r="107" spans="1:8" s="30" customFormat="1" x14ac:dyDescent="0.3">
      <c r="A107" s="27" t="s">
        <v>54</v>
      </c>
      <c r="B107" s="28"/>
      <c r="C107" s="27"/>
      <c r="D107" s="29"/>
      <c r="E107" s="29"/>
      <c r="F107" s="29"/>
      <c r="G107" s="29"/>
      <c r="H107" s="29"/>
    </row>
    <row r="108" spans="1:8" x14ac:dyDescent="0.3"/>
  </sheetData>
  <mergeCells count="9">
    <mergeCell ref="A11:C11"/>
    <mergeCell ref="A22:C22"/>
    <mergeCell ref="A42:C42"/>
    <mergeCell ref="A68:C68"/>
    <mergeCell ref="A92:C92"/>
    <mergeCell ref="A33:C33"/>
    <mergeCell ref="A54:C54"/>
    <mergeCell ref="A60:C60"/>
    <mergeCell ref="A87:C8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showGridLines="0" zoomScale="120" zoomScaleNormal="120" workbookViewId="0">
      <selection activeCell="B8" sqref="B8"/>
    </sheetView>
  </sheetViews>
  <sheetFormatPr defaultColWidth="9.109375" defaultRowHeight="14.4" x14ac:dyDescent="0.3"/>
  <cols>
    <col min="1" max="1" width="20" style="5" bestFit="1" customWidth="1"/>
    <col min="2" max="2" width="5.5546875" style="6" bestFit="1" customWidth="1"/>
    <col min="3" max="6" width="14.6640625" style="38" bestFit="1" customWidth="1"/>
    <col min="7" max="7" width="14.33203125" style="38" bestFit="1" customWidth="1"/>
  </cols>
  <sheetData>
    <row r="1" spans="1:7" x14ac:dyDescent="0.3">
      <c r="A1" s="1" t="s">
        <v>66</v>
      </c>
      <c r="B1" s="2"/>
      <c r="C1" s="1"/>
      <c r="D1" s="1"/>
      <c r="E1" s="1"/>
      <c r="F1" s="1"/>
      <c r="G1" s="1"/>
    </row>
    <row r="2" spans="1:7" x14ac:dyDescent="0.3">
      <c r="A2" s="1" t="s">
        <v>65</v>
      </c>
      <c r="B2" s="2" t="s">
        <v>2</v>
      </c>
      <c r="C2" s="3">
        <v>1</v>
      </c>
      <c r="D2" s="3">
        <f>C2+1</f>
        <v>2</v>
      </c>
      <c r="E2" s="3">
        <f t="shared" ref="E2:G2" si="0">D2+1</f>
        <v>3</v>
      </c>
      <c r="F2" s="3">
        <f t="shared" si="0"/>
        <v>4</v>
      </c>
      <c r="G2" s="3">
        <f t="shared" si="0"/>
        <v>5</v>
      </c>
    </row>
    <row r="3" spans="1:7" x14ac:dyDescent="0.3">
      <c r="A3" s="1" t="s">
        <v>1</v>
      </c>
      <c r="B3" s="2"/>
      <c r="C3" s="4">
        <f>'Input Sheet'!D3</f>
        <v>45382</v>
      </c>
      <c r="D3" s="4">
        <f>'Input Sheet'!E3</f>
        <v>45747</v>
      </c>
      <c r="E3" s="4">
        <f>'Input Sheet'!F3</f>
        <v>46112</v>
      </c>
      <c r="F3" s="4">
        <f>'Input Sheet'!G3</f>
        <v>46477</v>
      </c>
      <c r="G3" s="4">
        <f>'Input Sheet'!H3</f>
        <v>46843</v>
      </c>
    </row>
    <row r="4" spans="1:7" ht="15.6" x14ac:dyDescent="0.3">
      <c r="A4" s="12" t="s">
        <v>56</v>
      </c>
      <c r="C4" s="8"/>
      <c r="D4" s="8"/>
      <c r="E4" s="8"/>
      <c r="F4" s="8"/>
      <c r="G4" s="8"/>
    </row>
    <row r="5" spans="1:7" x14ac:dyDescent="0.3">
      <c r="C5" s="8"/>
      <c r="D5" s="8"/>
      <c r="E5" s="8"/>
      <c r="F5" s="8"/>
      <c r="G5" s="8"/>
    </row>
    <row r="6" spans="1:7" x14ac:dyDescent="0.3">
      <c r="A6" s="5" t="s">
        <v>57</v>
      </c>
      <c r="B6" s="6" t="s">
        <v>15</v>
      </c>
      <c r="C6" s="8">
        <f>'Input Sheet'!C88</f>
        <v>20000000</v>
      </c>
      <c r="D6" s="8">
        <f t="shared" ref="D6:G7" si="1">C9</f>
        <v>17600000</v>
      </c>
      <c r="E6" s="8">
        <f t="shared" si="1"/>
        <v>15488000</v>
      </c>
      <c r="F6" s="8">
        <f t="shared" si="1"/>
        <v>13629440</v>
      </c>
      <c r="G6" s="8">
        <f t="shared" si="1"/>
        <v>11993907.199999999</v>
      </c>
    </row>
    <row r="7" spans="1:7" x14ac:dyDescent="0.3">
      <c r="A7" s="5" t="s">
        <v>58</v>
      </c>
      <c r="B7" s="6" t="s">
        <v>15</v>
      </c>
      <c r="C7" s="8">
        <v>0</v>
      </c>
      <c r="D7" s="8">
        <f t="shared" si="1"/>
        <v>0</v>
      </c>
      <c r="E7" s="8">
        <f t="shared" si="1"/>
        <v>0</v>
      </c>
      <c r="F7" s="8">
        <f t="shared" si="1"/>
        <v>0</v>
      </c>
      <c r="G7" s="8">
        <f t="shared" si="1"/>
        <v>0</v>
      </c>
    </row>
    <row r="8" spans="1:7" x14ac:dyDescent="0.3">
      <c r="A8" s="5" t="s">
        <v>59</v>
      </c>
      <c r="B8" s="6" t="s">
        <v>15</v>
      </c>
      <c r="C8" s="39">
        <f>C6*'Input Sheet'!$C$79</f>
        <v>2400000</v>
      </c>
      <c r="D8" s="39">
        <f>D6*'Input Sheet'!$C$79</f>
        <v>2112000</v>
      </c>
      <c r="E8" s="39">
        <f>E6*'Input Sheet'!$C$79</f>
        <v>1858560</v>
      </c>
      <c r="F8" s="39">
        <f>F6*'Input Sheet'!$C$79</f>
        <v>1635532.8</v>
      </c>
      <c r="G8" s="39">
        <f>G6*'Input Sheet'!$C$79</f>
        <v>1439268.8639999998</v>
      </c>
    </row>
    <row r="9" spans="1:7" s="37" customFormat="1" ht="15" thickBot="1" x14ac:dyDescent="0.35">
      <c r="A9" s="41" t="s">
        <v>60</v>
      </c>
      <c r="B9" s="42" t="s">
        <v>15</v>
      </c>
      <c r="C9" s="105">
        <f>C6+C7-C8</f>
        <v>17600000</v>
      </c>
      <c r="D9" s="105">
        <f>D6+D7-D8</f>
        <v>15488000</v>
      </c>
      <c r="E9" s="105">
        <f>E6+E7-E8</f>
        <v>13629440</v>
      </c>
      <c r="F9" s="105">
        <f>F6+F7-F8</f>
        <v>11993907.199999999</v>
      </c>
      <c r="G9" s="105">
        <f>G6+G7-G8</f>
        <v>10554638.335999999</v>
      </c>
    </row>
    <row r="10" spans="1:7" ht="15" thickTop="1" x14ac:dyDescent="0.3">
      <c r="C10" s="8"/>
      <c r="D10" s="8"/>
      <c r="E10" s="8"/>
      <c r="F10" s="8"/>
      <c r="G10" s="8"/>
    </row>
    <row r="11" spans="1:7" x14ac:dyDescent="0.3">
      <c r="C11" s="8"/>
      <c r="D11" s="8"/>
      <c r="E11" s="8"/>
      <c r="F11" s="8"/>
      <c r="G11" s="8"/>
    </row>
    <row r="12" spans="1:7" s="37" customFormat="1" x14ac:dyDescent="0.3">
      <c r="A12" s="27" t="s">
        <v>54</v>
      </c>
      <c r="B12" s="28"/>
      <c r="C12" s="29"/>
      <c r="D12" s="29"/>
      <c r="E12" s="29"/>
      <c r="F12" s="29"/>
      <c r="G12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showGridLines="0" zoomScaleNormal="100" workbookViewId="0">
      <selection activeCell="F18" sqref="F18"/>
    </sheetView>
  </sheetViews>
  <sheetFormatPr defaultRowHeight="14.4" x14ac:dyDescent="0.3"/>
  <cols>
    <col min="1" max="1" width="20" bestFit="1" customWidth="1"/>
    <col min="2" max="2" width="5.44140625" bestFit="1" customWidth="1"/>
    <col min="4" max="4" width="14.109375" bestFit="1" customWidth="1"/>
    <col min="5" max="5" width="21.6640625" bestFit="1" customWidth="1"/>
    <col min="6" max="6" width="17.5546875" bestFit="1" customWidth="1"/>
    <col min="7" max="9" width="11.109375" bestFit="1" customWidth="1"/>
    <col min="10" max="10" width="16.33203125" bestFit="1" customWidth="1"/>
  </cols>
  <sheetData>
    <row r="1" spans="1:10" x14ac:dyDescent="0.3">
      <c r="A1" s="1" t="s">
        <v>75</v>
      </c>
      <c r="B1" s="2"/>
      <c r="C1" s="1"/>
      <c r="D1" s="3"/>
      <c r="E1" s="3"/>
      <c r="F1" s="3"/>
      <c r="G1" s="3"/>
      <c r="H1" s="3"/>
      <c r="I1" s="44"/>
      <c r="J1" s="44"/>
    </row>
    <row r="2" spans="1:10" x14ac:dyDescent="0.3">
      <c r="A2" s="1" t="s">
        <v>65</v>
      </c>
      <c r="B2" s="2" t="s">
        <v>2</v>
      </c>
      <c r="C2" s="1"/>
      <c r="D2" s="3">
        <v>1</v>
      </c>
      <c r="E2" s="3">
        <f>D2+1</f>
        <v>2</v>
      </c>
      <c r="F2" s="3">
        <f t="shared" ref="F2:G2" si="0">E2+1</f>
        <v>3</v>
      </c>
      <c r="G2" s="3">
        <f t="shared" si="0"/>
        <v>4</v>
      </c>
      <c r="H2" s="3">
        <f>G2+1</f>
        <v>5</v>
      </c>
      <c r="I2" s="45"/>
      <c r="J2" s="46"/>
    </row>
    <row r="3" spans="1:10" x14ac:dyDescent="0.3">
      <c r="A3" s="1" t="s">
        <v>1</v>
      </c>
      <c r="B3" s="2"/>
      <c r="C3" s="1"/>
      <c r="D3" s="4">
        <f>AS!C3</f>
        <v>45382</v>
      </c>
      <c r="E3" s="4">
        <f>AS!D3</f>
        <v>45747</v>
      </c>
      <c r="F3" s="4">
        <f>AS!E3</f>
        <v>46112</v>
      </c>
      <c r="G3" s="4">
        <f>AS!F3</f>
        <v>46477</v>
      </c>
      <c r="H3" s="4">
        <f>AS!G3</f>
        <v>46843</v>
      </c>
      <c r="I3" s="47"/>
      <c r="J3" s="46"/>
    </row>
    <row r="4" spans="1:10" ht="15.6" x14ac:dyDescent="0.3">
      <c r="A4" s="12" t="s">
        <v>68</v>
      </c>
      <c r="B4" s="6"/>
      <c r="C4" s="5"/>
      <c r="D4" s="8"/>
      <c r="E4" s="8"/>
      <c r="F4" s="8"/>
      <c r="G4" s="8"/>
      <c r="H4" s="8"/>
      <c r="I4" s="8"/>
      <c r="J4" s="8"/>
    </row>
    <row r="5" spans="1:10" x14ac:dyDescent="0.3">
      <c r="A5" s="5"/>
      <c r="B5" s="6"/>
      <c r="C5" s="5"/>
      <c r="D5" s="8"/>
      <c r="E5" s="8"/>
      <c r="F5" s="8"/>
      <c r="G5" s="8"/>
      <c r="H5" s="8"/>
      <c r="I5" s="8"/>
      <c r="J5" s="8"/>
    </row>
    <row r="6" spans="1:10" x14ac:dyDescent="0.3">
      <c r="A6" s="5" t="s">
        <v>57</v>
      </c>
      <c r="B6" s="6" t="s">
        <v>15</v>
      </c>
      <c r="C6" s="5"/>
      <c r="D6" s="8">
        <f>'Input Sheet'!C102</f>
        <v>16064000</v>
      </c>
      <c r="E6" s="8">
        <f>D9</f>
        <v>13633781.109167878</v>
      </c>
      <c r="F6" s="8">
        <f>E9</f>
        <v>10863331.573619258</v>
      </c>
      <c r="G6" s="8">
        <f>F9</f>
        <v>7705019.1030938318</v>
      </c>
      <c r="H6" s="8">
        <f>G9</f>
        <v>4104542.8866948457</v>
      </c>
      <c r="I6" s="8"/>
      <c r="J6" s="8"/>
    </row>
    <row r="7" spans="1:10" x14ac:dyDescent="0.3">
      <c r="A7" s="5" t="s">
        <v>69</v>
      </c>
      <c r="B7" s="6" t="s">
        <v>15</v>
      </c>
      <c r="C7" s="5"/>
      <c r="D7" s="8">
        <v>0</v>
      </c>
      <c r="E7" s="8">
        <v>0</v>
      </c>
      <c r="F7" s="8">
        <v>0</v>
      </c>
      <c r="G7" s="8">
        <v>0</v>
      </c>
      <c r="H7" s="8">
        <v>0</v>
      </c>
      <c r="I7" s="8"/>
      <c r="J7" s="8"/>
    </row>
    <row r="8" spans="1:10" x14ac:dyDescent="0.3">
      <c r="A8" s="5" t="s">
        <v>70</v>
      </c>
      <c r="B8" s="6" t="s">
        <v>15</v>
      </c>
      <c r="C8" s="5"/>
      <c r="D8" s="8">
        <f>I18</f>
        <v>2430218.8908321224</v>
      </c>
      <c r="E8" s="8">
        <f>I19</f>
        <v>2770449.5355486195</v>
      </c>
      <c r="F8" s="8">
        <f>I20</f>
        <v>3158312.4705254259</v>
      </c>
      <c r="G8" s="8">
        <f>I21</f>
        <v>3600476.2163989861</v>
      </c>
      <c r="H8" s="8">
        <f>J21</f>
        <v>4104542.8866948457</v>
      </c>
      <c r="I8" s="8"/>
      <c r="J8" s="8"/>
    </row>
    <row r="9" spans="1:10" ht="15" thickBot="1" x14ac:dyDescent="0.35">
      <c r="A9" s="34" t="s">
        <v>60</v>
      </c>
      <c r="B9" s="35" t="s">
        <v>15</v>
      </c>
      <c r="C9" s="34"/>
      <c r="D9" s="36">
        <f>D6+D7-D8</f>
        <v>13633781.109167878</v>
      </c>
      <c r="E9" s="36">
        <f>E6+E7-E8</f>
        <v>10863331.573619258</v>
      </c>
      <c r="F9" s="36">
        <f>F6+F7-F8</f>
        <v>7705019.1030938318</v>
      </c>
      <c r="G9" s="36">
        <f>G6+G7-G8</f>
        <v>4104542.8866948457</v>
      </c>
      <c r="H9" s="36">
        <f>H6+H7-H8</f>
        <v>0</v>
      </c>
      <c r="I9" s="48"/>
      <c r="J9" s="37"/>
    </row>
    <row r="10" spans="1:10" x14ac:dyDescent="0.3">
      <c r="A10" s="5"/>
      <c r="B10" s="6"/>
      <c r="C10" s="5"/>
      <c r="D10" s="8"/>
      <c r="E10" s="8"/>
      <c r="F10" s="8"/>
      <c r="G10" s="8"/>
      <c r="H10" s="8"/>
      <c r="I10" s="8"/>
      <c r="J10" s="8"/>
    </row>
    <row r="11" spans="1:10" x14ac:dyDescent="0.3">
      <c r="A11" s="5"/>
      <c r="B11" s="6"/>
      <c r="C11" s="5"/>
      <c r="D11" s="8"/>
      <c r="E11" s="8"/>
      <c r="F11" s="8"/>
      <c r="G11" s="8"/>
      <c r="H11" s="8"/>
      <c r="I11" s="8"/>
      <c r="J11" s="8"/>
    </row>
    <row r="12" spans="1:10" x14ac:dyDescent="0.3">
      <c r="A12" s="5"/>
      <c r="B12" s="6"/>
      <c r="C12" s="5"/>
      <c r="D12" s="8"/>
      <c r="E12" s="8"/>
      <c r="F12" s="8"/>
      <c r="G12" s="8"/>
      <c r="H12" s="8"/>
      <c r="I12" s="8"/>
      <c r="J12" s="8"/>
    </row>
    <row r="13" spans="1:10" x14ac:dyDescent="0.3">
      <c r="A13" s="5"/>
      <c r="B13" s="6"/>
      <c r="C13" s="5"/>
      <c r="D13" s="8"/>
      <c r="E13" s="8"/>
      <c r="F13" s="8"/>
      <c r="G13" s="8"/>
      <c r="H13" s="8"/>
      <c r="I13" s="8"/>
      <c r="J13" s="8"/>
    </row>
    <row r="14" spans="1:10" x14ac:dyDescent="0.3">
      <c r="A14" s="5"/>
      <c r="B14" s="6"/>
      <c r="C14" s="5"/>
      <c r="D14" s="49" t="s">
        <v>77</v>
      </c>
      <c r="E14" s="49"/>
      <c r="F14" s="8"/>
      <c r="G14" s="8"/>
      <c r="H14" s="8"/>
      <c r="I14" s="8"/>
      <c r="J14" s="8"/>
    </row>
    <row r="15" spans="1:10" x14ac:dyDescent="0.3">
      <c r="A15" s="5"/>
      <c r="B15" s="6"/>
      <c r="C15" s="5"/>
      <c r="D15" s="8"/>
      <c r="E15" s="8"/>
      <c r="F15" s="8"/>
      <c r="G15" s="8"/>
      <c r="H15" s="8"/>
      <c r="I15" s="8"/>
      <c r="J15" s="8"/>
    </row>
    <row r="16" spans="1:10" ht="16.2" thickBot="1" x14ac:dyDescent="0.35">
      <c r="A16" s="5"/>
      <c r="B16" s="6"/>
      <c r="C16" s="5"/>
      <c r="D16" s="111" t="s">
        <v>76</v>
      </c>
      <c r="E16" s="112"/>
      <c r="F16" s="112"/>
      <c r="G16" s="112"/>
      <c r="H16" s="112"/>
      <c r="I16" s="112"/>
      <c r="J16" s="113"/>
    </row>
    <row r="17" spans="1:10" x14ac:dyDescent="0.3">
      <c r="A17" s="5"/>
      <c r="B17" s="6"/>
      <c r="C17" s="5"/>
      <c r="D17" s="50" t="s">
        <v>72</v>
      </c>
      <c r="E17" s="48" t="s">
        <v>78</v>
      </c>
      <c r="F17" s="48" t="s">
        <v>57</v>
      </c>
      <c r="G17" s="48" t="s">
        <v>71</v>
      </c>
      <c r="H17" s="48" t="s">
        <v>73</v>
      </c>
      <c r="I17" s="48" t="s">
        <v>74</v>
      </c>
      <c r="J17" s="48" t="s">
        <v>60</v>
      </c>
    </row>
    <row r="18" spans="1:10" x14ac:dyDescent="0.3">
      <c r="A18" s="5"/>
      <c r="B18" s="6"/>
      <c r="C18" s="5"/>
      <c r="D18" s="51">
        <v>1</v>
      </c>
      <c r="E18" s="52"/>
      <c r="F18" s="53">
        <f>D6</f>
        <v>16064000</v>
      </c>
      <c r="G18" s="53">
        <f>PMT(14%,5,-F18)</f>
        <v>4679178.8908321224</v>
      </c>
      <c r="H18" s="53">
        <f>F18*'Input Sheet'!$C$95</f>
        <v>2248960</v>
      </c>
      <c r="I18" s="53">
        <f>G18-H18</f>
        <v>2430218.8908321224</v>
      </c>
      <c r="J18" s="53">
        <f>F18-I18</f>
        <v>13633781.109167878</v>
      </c>
    </row>
    <row r="19" spans="1:10" x14ac:dyDescent="0.3">
      <c r="A19" s="5"/>
      <c r="B19" s="6"/>
      <c r="C19" s="5"/>
      <c r="D19" s="51">
        <f>D18+1</f>
        <v>2</v>
      </c>
      <c r="E19" s="52"/>
      <c r="F19" s="53">
        <f>J18</f>
        <v>13633781.109167878</v>
      </c>
      <c r="G19" s="53">
        <f>G18</f>
        <v>4679178.8908321224</v>
      </c>
      <c r="H19" s="53">
        <f>F19*'Input Sheet'!$C$95</f>
        <v>1908729.355283503</v>
      </c>
      <c r="I19" s="53">
        <f>G19-H19</f>
        <v>2770449.5355486195</v>
      </c>
      <c r="J19" s="53">
        <f>F19-I19</f>
        <v>10863331.573619258</v>
      </c>
    </row>
    <row r="20" spans="1:10" x14ac:dyDescent="0.3">
      <c r="A20" s="5"/>
      <c r="B20" s="6"/>
      <c r="C20" s="5"/>
      <c r="D20" s="51">
        <f t="shared" ref="D20:D22" si="1">D19+1</f>
        <v>3</v>
      </c>
      <c r="E20" s="52"/>
      <c r="F20" s="53">
        <f>J19</f>
        <v>10863331.573619258</v>
      </c>
      <c r="G20" s="53">
        <f>G19</f>
        <v>4679178.8908321224</v>
      </c>
      <c r="H20" s="53">
        <f>F20*'Input Sheet'!$C$95</f>
        <v>1520866.4203066963</v>
      </c>
      <c r="I20" s="53">
        <f>G20-H20</f>
        <v>3158312.4705254259</v>
      </c>
      <c r="J20" s="53">
        <f>F20-I20</f>
        <v>7705019.1030938318</v>
      </c>
    </row>
    <row r="21" spans="1:10" x14ac:dyDescent="0.3">
      <c r="A21" s="5"/>
      <c r="B21" s="6"/>
      <c r="C21" s="5"/>
      <c r="D21" s="51">
        <f t="shared" si="1"/>
        <v>4</v>
      </c>
      <c r="E21" s="52"/>
      <c r="F21" s="53">
        <f>J20</f>
        <v>7705019.1030938318</v>
      </c>
      <c r="G21" s="53">
        <f>G20</f>
        <v>4679178.8908321224</v>
      </c>
      <c r="H21" s="53">
        <f>F21*'Input Sheet'!$C$95</f>
        <v>1078702.6744331366</v>
      </c>
      <c r="I21" s="53">
        <f>G21-H21</f>
        <v>3600476.2163989861</v>
      </c>
      <c r="J21" s="53">
        <f>F21-I21</f>
        <v>4104542.8866948457</v>
      </c>
    </row>
    <row r="22" spans="1:10" x14ac:dyDescent="0.3">
      <c r="A22" s="5"/>
      <c r="B22" s="6"/>
      <c r="C22" s="5"/>
      <c r="D22" s="54">
        <f t="shared" si="1"/>
        <v>5</v>
      </c>
      <c r="E22" s="55"/>
      <c r="F22" s="56">
        <f>J21</f>
        <v>4104542.8866948457</v>
      </c>
      <c r="G22" s="56">
        <f>G21</f>
        <v>4679178.8908321224</v>
      </c>
      <c r="H22" s="56">
        <f>F22*'Input Sheet'!$C$95</f>
        <v>574636.00413727842</v>
      </c>
      <c r="I22" s="56">
        <f>G22-H22</f>
        <v>4104542.8866948439</v>
      </c>
      <c r="J22" s="56">
        <f>F22-I22</f>
        <v>0</v>
      </c>
    </row>
    <row r="23" spans="1:10" x14ac:dyDescent="0.3">
      <c r="A23" s="5"/>
      <c r="B23" s="6"/>
      <c r="C23" s="5"/>
      <c r="D23" s="8"/>
      <c r="E23" s="57"/>
      <c r="F23" s="8"/>
      <c r="G23" s="8"/>
      <c r="H23" s="8"/>
      <c r="I23" s="8"/>
      <c r="J23" s="8"/>
    </row>
    <row r="24" spans="1:10" x14ac:dyDescent="0.3">
      <c r="A24" s="5"/>
      <c r="B24" s="6"/>
      <c r="C24" s="5"/>
      <c r="D24" s="8"/>
      <c r="E24" s="57"/>
      <c r="F24" s="8"/>
      <c r="G24" s="8"/>
      <c r="H24" s="8"/>
      <c r="I24" s="8"/>
      <c r="J24" s="8"/>
    </row>
    <row r="25" spans="1:10" x14ac:dyDescent="0.3">
      <c r="A25" s="27" t="s">
        <v>54</v>
      </c>
      <c r="B25" s="28"/>
      <c r="C25" s="27"/>
      <c r="D25" s="29"/>
      <c r="E25" s="58"/>
      <c r="F25" s="29"/>
      <c r="G25" s="29"/>
      <c r="H25" s="29"/>
      <c r="I25" s="29"/>
      <c r="J25" s="29"/>
    </row>
  </sheetData>
  <mergeCells count="1">
    <mergeCell ref="D16:J16"/>
  </mergeCells>
  <pageMargins left="0.7" right="0.7" top="0.75" bottom="0.75" header="0.3" footer="0.3"/>
  <pageSetup orientation="portrait" r:id="rId1"/>
  <ignoredErrors>
    <ignoredError sqref="G2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showGridLines="0" zoomScaleNormal="100" workbookViewId="0">
      <selection activeCell="H23" sqref="H23"/>
    </sheetView>
  </sheetViews>
  <sheetFormatPr defaultColWidth="9.109375" defaultRowHeight="14.4" x14ac:dyDescent="0.3"/>
  <cols>
    <col min="1" max="1" width="25.77734375" style="5" bestFit="1" customWidth="1"/>
    <col min="2" max="2" width="5.21875" style="6" bestFit="1" customWidth="1"/>
    <col min="3" max="3" width="9.109375" style="5"/>
    <col min="4" max="8" width="13.109375" style="38" bestFit="1" customWidth="1"/>
  </cols>
  <sheetData>
    <row r="1" spans="1:8" x14ac:dyDescent="0.3">
      <c r="A1" s="1" t="s">
        <v>92</v>
      </c>
      <c r="B1" s="2"/>
      <c r="C1" s="1"/>
      <c r="D1" s="1"/>
      <c r="E1" s="1"/>
      <c r="F1" s="1"/>
      <c r="G1" s="1"/>
      <c r="H1" s="1"/>
    </row>
    <row r="2" spans="1:8" x14ac:dyDescent="0.3">
      <c r="A2" s="1" t="s">
        <v>65</v>
      </c>
      <c r="B2" s="2" t="s">
        <v>2</v>
      </c>
      <c r="C2" s="1"/>
      <c r="D2" s="3">
        <v>1</v>
      </c>
      <c r="E2" s="3">
        <f>D2+1</f>
        <v>2</v>
      </c>
      <c r="F2" s="3">
        <f t="shared" ref="F2:H2" si="0">E2+1</f>
        <v>3</v>
      </c>
      <c r="G2" s="3">
        <f t="shared" si="0"/>
        <v>4</v>
      </c>
      <c r="H2" s="3">
        <f t="shared" si="0"/>
        <v>5</v>
      </c>
    </row>
    <row r="3" spans="1:8" x14ac:dyDescent="0.3">
      <c r="A3" s="1" t="s">
        <v>1</v>
      </c>
      <c r="B3" s="2"/>
      <c r="C3" s="1"/>
      <c r="D3" s="4">
        <f>'Input Sheet'!D3</f>
        <v>45382</v>
      </c>
      <c r="E3" s="4">
        <f>'Input Sheet'!E3</f>
        <v>45747</v>
      </c>
      <c r="F3" s="4">
        <f>'Input Sheet'!F3</f>
        <v>46112</v>
      </c>
      <c r="G3" s="4">
        <f>'Input Sheet'!G3</f>
        <v>46477</v>
      </c>
      <c r="H3" s="4">
        <f>'Input Sheet'!H3</f>
        <v>46843</v>
      </c>
    </row>
    <row r="4" spans="1:8" ht="15.6" x14ac:dyDescent="0.3">
      <c r="A4" s="12" t="s">
        <v>93</v>
      </c>
      <c r="D4" s="8"/>
      <c r="E4" s="8"/>
      <c r="F4" s="8"/>
      <c r="G4" s="8"/>
      <c r="H4" s="8"/>
    </row>
    <row r="5" spans="1:8" x14ac:dyDescent="0.3">
      <c r="A5" s="16" t="s">
        <v>7</v>
      </c>
      <c r="B5" s="6" t="s">
        <v>15</v>
      </c>
      <c r="D5" s="8">
        <f>'Input Sheet'!D34*'Input Sheet'!$C$43</f>
        <v>3477600</v>
      </c>
      <c r="E5" s="8">
        <f>'Input Sheet'!E34*'Input Sheet'!$C$43</f>
        <v>4200525</v>
      </c>
      <c r="F5" s="8">
        <f>'Input Sheet'!F34*'Input Sheet'!$C$43</f>
        <v>5074053</v>
      </c>
      <c r="G5" s="8">
        <f>'Input Sheet'!G34*'Input Sheet'!$C$43</f>
        <v>6126540</v>
      </c>
      <c r="H5" s="8">
        <f>'Input Sheet'!H34*'Input Sheet'!$C$43</f>
        <v>7397628</v>
      </c>
    </row>
    <row r="6" spans="1:8" x14ac:dyDescent="0.3">
      <c r="A6" s="16" t="s">
        <v>8</v>
      </c>
      <c r="B6" s="6" t="s">
        <v>15</v>
      </c>
      <c r="D6" s="8">
        <f>'Input Sheet'!D35*'Input Sheet'!$C$44</f>
        <v>16301250</v>
      </c>
      <c r="E6" s="8">
        <f>'Input Sheet'!E35*'Input Sheet'!$C$44</f>
        <v>19684116.449999999</v>
      </c>
      <c r="F6" s="8">
        <f>'Input Sheet'!F35*'Input Sheet'!$C$44</f>
        <v>23767796.25</v>
      </c>
      <c r="G6" s="8">
        <f>'Input Sheet'!G35*'Input Sheet'!$C$44</f>
        <v>28698427.199999999</v>
      </c>
      <c r="H6" s="8">
        <f>'Input Sheet'!H35*'Input Sheet'!$C$44</f>
        <v>34651002</v>
      </c>
    </row>
    <row r="7" spans="1:8" x14ac:dyDescent="0.3">
      <c r="A7" s="16" t="s">
        <v>9</v>
      </c>
      <c r="B7" s="6" t="s">
        <v>15</v>
      </c>
      <c r="D7" s="8">
        <f>'Input Sheet'!D36*'Input Sheet'!$C$45</f>
        <v>7144200</v>
      </c>
      <c r="E7" s="8">
        <f>'Input Sheet'!E36*'Input Sheet'!$C$45</f>
        <v>8628276.8000000007</v>
      </c>
      <c r="F7" s="8">
        <f>'Input Sheet'!F36*'Input Sheet'!$C$45</f>
        <v>10420972.4</v>
      </c>
      <c r="G7" s="8">
        <f>'Input Sheet'!G36*'Input Sheet'!$C$45</f>
        <v>12584219.4</v>
      </c>
      <c r="H7" s="8">
        <f>'Input Sheet'!H36*'Input Sheet'!$C$45</f>
        <v>15196734</v>
      </c>
    </row>
    <row r="8" spans="1:8" x14ac:dyDescent="0.3">
      <c r="A8" s="16" t="s">
        <v>10</v>
      </c>
      <c r="B8" s="6" t="s">
        <v>15</v>
      </c>
      <c r="D8" s="8">
        <f>'Input Sheet'!D37*'Input Sheet'!$C$46</f>
        <v>3034080</v>
      </c>
      <c r="E8" s="8">
        <f>'Input Sheet'!E37*'Input Sheet'!$C$46</f>
        <v>3664269</v>
      </c>
      <c r="F8" s="8">
        <f>'Input Sheet'!F37*'Input Sheet'!$C$46</f>
        <v>4424511</v>
      </c>
      <c r="G8" s="8">
        <f>'Input Sheet'!G37*'Input Sheet'!$C$46</f>
        <v>5343338</v>
      </c>
      <c r="H8" s="8">
        <f>'Input Sheet'!H37*'Input Sheet'!$C$46</f>
        <v>6453921.6000000006</v>
      </c>
    </row>
    <row r="9" spans="1:8" x14ac:dyDescent="0.3">
      <c r="A9" s="16" t="s">
        <v>11</v>
      </c>
      <c r="B9" s="6" t="s">
        <v>15</v>
      </c>
      <c r="D9" s="8">
        <f>'Input Sheet'!D38*'Input Sheet'!$C$47</f>
        <v>9434880</v>
      </c>
      <c r="E9" s="8">
        <f>'Input Sheet'!E38*'Input Sheet'!$C$47</f>
        <v>11391030</v>
      </c>
      <c r="F9" s="8">
        <f>'Input Sheet'!F38*'Input Sheet'!$C$47</f>
        <v>13752585</v>
      </c>
      <c r="G9" s="8">
        <f>'Input Sheet'!G38*'Input Sheet'!$C$47</f>
        <v>16610536.799999999</v>
      </c>
      <c r="H9" s="8">
        <f>'Input Sheet'!H38*'Input Sheet'!$C$47</f>
        <v>20059979.939999998</v>
      </c>
    </row>
    <row r="10" spans="1:8" x14ac:dyDescent="0.3">
      <c r="A10" s="5" t="s">
        <v>12</v>
      </c>
      <c r="B10" s="6" t="s">
        <v>15</v>
      </c>
      <c r="D10" s="8">
        <f>'Input Sheet'!D39*'Input Sheet'!$C$48</f>
        <v>5216400</v>
      </c>
      <c r="E10" s="8">
        <f>'Input Sheet'!E39*'Input Sheet'!$C$48</f>
        <v>6300787.5</v>
      </c>
      <c r="F10" s="8">
        <f>'Input Sheet'!F39*'Input Sheet'!$C$48</f>
        <v>7610860.3499999996</v>
      </c>
      <c r="G10" s="8">
        <f>'Input Sheet'!G39*'Input Sheet'!$C$48</f>
        <v>9189180</v>
      </c>
      <c r="H10" s="8">
        <f>'Input Sheet'!H39*'Input Sheet'!$C$48</f>
        <v>11095862.4</v>
      </c>
    </row>
    <row r="11" spans="1:8" s="37" customFormat="1" x14ac:dyDescent="0.3">
      <c r="A11" s="59" t="s">
        <v>94</v>
      </c>
      <c r="B11" s="60" t="s">
        <v>15</v>
      </c>
      <c r="C11" s="59"/>
      <c r="D11" s="61">
        <f>SUM(D5:D10)</f>
        <v>44608410</v>
      </c>
      <c r="E11" s="61">
        <f>SUM(E5:E10)</f>
        <v>53869004.75</v>
      </c>
      <c r="F11" s="61">
        <f>SUM(F5:F10)</f>
        <v>65050778</v>
      </c>
      <c r="G11" s="61">
        <f>SUM(G5:G10)</f>
        <v>78552241.400000006</v>
      </c>
      <c r="H11" s="61">
        <f>SUM(H5:H10)</f>
        <v>94855127.939999998</v>
      </c>
    </row>
    <row r="12" spans="1:8" x14ac:dyDescent="0.3">
      <c r="A12" s="7"/>
      <c r="D12" s="8"/>
      <c r="E12" s="8"/>
      <c r="F12" s="8"/>
      <c r="G12" s="8"/>
      <c r="H12" s="8"/>
    </row>
    <row r="13" spans="1:8" x14ac:dyDescent="0.3">
      <c r="A13" s="62" t="s">
        <v>86</v>
      </c>
      <c r="D13" s="8"/>
      <c r="E13" s="8"/>
      <c r="F13" s="8"/>
      <c r="G13" s="8"/>
      <c r="H13" s="8"/>
    </row>
    <row r="14" spans="1:8" x14ac:dyDescent="0.3">
      <c r="A14" s="16" t="s">
        <v>87</v>
      </c>
      <c r="B14" s="6" t="s">
        <v>15</v>
      </c>
      <c r="D14" s="8">
        <f>'Input Sheet'!D65</f>
        <v>7433856</v>
      </c>
      <c r="E14" s="8">
        <f>'Input Sheet'!E65</f>
        <v>9634277.3760000002</v>
      </c>
      <c r="F14" s="8">
        <f>'Input Sheet'!F65</f>
        <v>12486023.479295999</v>
      </c>
      <c r="G14" s="8">
        <f>'Input Sheet'!G65</f>
        <v>16181886.429167619</v>
      </c>
      <c r="H14" s="8">
        <f>'Input Sheet'!H65</f>
        <v>20971724.812201232</v>
      </c>
    </row>
    <row r="15" spans="1:8" x14ac:dyDescent="0.3">
      <c r="A15" s="16" t="s">
        <v>88</v>
      </c>
      <c r="B15" s="6" t="s">
        <v>15</v>
      </c>
      <c r="D15" s="8">
        <f>'Input Sheet'!D75</f>
        <v>12326400</v>
      </c>
      <c r="E15" s="8">
        <f>'Input Sheet'!E75</f>
        <v>13189248</v>
      </c>
      <c r="F15" s="8">
        <f>'Input Sheet'!F75</f>
        <v>14112495.359999999</v>
      </c>
      <c r="G15" s="8">
        <f>'Input Sheet'!G75</f>
        <v>15100370.0352</v>
      </c>
      <c r="H15" s="8">
        <f>'Input Sheet'!H75</f>
        <v>16157395.937664</v>
      </c>
    </row>
    <row r="16" spans="1:8" x14ac:dyDescent="0.3">
      <c r="A16" s="16" t="s">
        <v>89</v>
      </c>
      <c r="B16" s="6" t="s">
        <v>15</v>
      </c>
      <c r="D16" s="8">
        <f>'Input Sheet'!D76</f>
        <v>9244800</v>
      </c>
      <c r="E16" s="8">
        <f>'Input Sheet'!E76</f>
        <v>9891936</v>
      </c>
      <c r="F16" s="8">
        <f>'Input Sheet'!F76</f>
        <v>10584371.52</v>
      </c>
      <c r="G16" s="8">
        <f>'Input Sheet'!G76</f>
        <v>11325277.5264</v>
      </c>
      <c r="H16" s="8">
        <f>'Input Sheet'!H76</f>
        <v>12118046.953248</v>
      </c>
    </row>
    <row r="17" spans="1:8" x14ac:dyDescent="0.3">
      <c r="A17" s="16" t="s">
        <v>90</v>
      </c>
      <c r="B17" s="6" t="s">
        <v>15</v>
      </c>
      <c r="D17" s="8">
        <f>D11*'Input Sheet'!$C$81</f>
        <v>8921682</v>
      </c>
      <c r="E17" s="8">
        <f>E11*'Input Sheet'!$C$81</f>
        <v>10773800.950000001</v>
      </c>
      <c r="F17" s="8">
        <f>F11*'Input Sheet'!$C$81</f>
        <v>13010155.600000001</v>
      </c>
      <c r="G17" s="8">
        <f>G11*'Input Sheet'!$C$81</f>
        <v>15710448.280000001</v>
      </c>
      <c r="H17" s="8">
        <f>H11*'Input Sheet'!$C$81</f>
        <v>18971025.588</v>
      </c>
    </row>
    <row r="18" spans="1:8" s="37" customFormat="1" x14ac:dyDescent="0.3">
      <c r="A18" s="59" t="s">
        <v>91</v>
      </c>
      <c r="B18" s="60" t="s">
        <v>15</v>
      </c>
      <c r="C18" s="59"/>
      <c r="D18" s="61">
        <f>SUM(D14:D17)</f>
        <v>37926738</v>
      </c>
      <c r="E18" s="61">
        <f>SUM(E14:E17)</f>
        <v>43489262.326000005</v>
      </c>
      <c r="F18" s="61">
        <f>SUM(F14:F17)</f>
        <v>50193045.959295996</v>
      </c>
      <c r="G18" s="61">
        <f>SUM(G14:G17)</f>
        <v>58317982.270767622</v>
      </c>
      <c r="H18" s="61">
        <f>SUM(H14:H17)</f>
        <v>68218193.291113228</v>
      </c>
    </row>
    <row r="19" spans="1:8" x14ac:dyDescent="0.3">
      <c r="D19" s="8"/>
      <c r="E19" s="8"/>
      <c r="F19" s="8"/>
      <c r="G19" s="8"/>
      <c r="H19" s="8"/>
    </row>
    <row r="20" spans="1:8" s="37" customFormat="1" x14ac:dyDescent="0.3">
      <c r="A20" s="59" t="s">
        <v>79</v>
      </c>
      <c r="B20" s="60" t="s">
        <v>15</v>
      </c>
      <c r="C20" s="59"/>
      <c r="D20" s="61">
        <f>D11-D18</f>
        <v>6681672</v>
      </c>
      <c r="E20" s="61">
        <f>E11-E18</f>
        <v>10379742.423999995</v>
      </c>
      <c r="F20" s="61">
        <f>F11-F18</f>
        <v>14857732.040704004</v>
      </c>
      <c r="G20" s="61">
        <f>G11-G18</f>
        <v>20234259.129232384</v>
      </c>
      <c r="H20" s="61">
        <f>H11-H18</f>
        <v>26636934.64888677</v>
      </c>
    </row>
    <row r="21" spans="1:8" x14ac:dyDescent="0.3">
      <c r="A21" s="5" t="s">
        <v>80</v>
      </c>
      <c r="B21" s="6" t="s">
        <v>15</v>
      </c>
      <c r="D21" s="8">
        <f>AS!C8</f>
        <v>2400000</v>
      </c>
      <c r="E21" s="8">
        <f>AS!D8</f>
        <v>2112000</v>
      </c>
      <c r="F21" s="8">
        <f>AS!E8</f>
        <v>1858560</v>
      </c>
      <c r="G21" s="8">
        <f>AS!F8</f>
        <v>1635532.8</v>
      </c>
      <c r="H21" s="8">
        <f>AS!G8</f>
        <v>1439268.8639999998</v>
      </c>
    </row>
    <row r="22" spans="1:8" x14ac:dyDescent="0.3">
      <c r="D22" s="8"/>
      <c r="E22" s="8"/>
      <c r="F22" s="8"/>
      <c r="G22" s="8"/>
      <c r="H22" s="8"/>
    </row>
    <row r="23" spans="1:8" s="37" customFormat="1" x14ac:dyDescent="0.3">
      <c r="A23" s="59" t="s">
        <v>81</v>
      </c>
      <c r="B23" s="60" t="s">
        <v>15</v>
      </c>
      <c r="C23" s="59"/>
      <c r="D23" s="61">
        <f>D20-D21</f>
        <v>4281672</v>
      </c>
      <c r="E23" s="61">
        <f>E20-E21</f>
        <v>8267742.423999995</v>
      </c>
      <c r="F23" s="61">
        <f>F20-F21</f>
        <v>12999172.040704004</v>
      </c>
      <c r="G23" s="61">
        <f>G20-G21</f>
        <v>18598726.329232384</v>
      </c>
      <c r="H23" s="61">
        <f>H20-H21</f>
        <v>25197665.78488677</v>
      </c>
    </row>
    <row r="24" spans="1:8" x14ac:dyDescent="0.3">
      <c r="A24" s="5" t="s">
        <v>82</v>
      </c>
      <c r="B24" s="6" t="s">
        <v>15</v>
      </c>
      <c r="D24" s="8">
        <f>DS!H18</f>
        <v>2248960</v>
      </c>
      <c r="E24" s="8">
        <f>DS!H19</f>
        <v>1908729.355283503</v>
      </c>
      <c r="F24" s="8">
        <f>DS!H20</f>
        <v>1520866.4203066963</v>
      </c>
      <c r="G24" s="8">
        <f>DS!H21</f>
        <v>1078702.6744331366</v>
      </c>
      <c r="H24" s="8">
        <f>DS!H22</f>
        <v>574636.00413727842</v>
      </c>
    </row>
    <row r="25" spans="1:8" x14ac:dyDescent="0.3">
      <c r="D25" s="8"/>
      <c r="E25" s="8"/>
      <c r="F25" s="8"/>
      <c r="G25" s="8"/>
      <c r="H25" s="8"/>
    </row>
    <row r="26" spans="1:8" s="37" customFormat="1" x14ac:dyDescent="0.3">
      <c r="A26" s="59" t="s">
        <v>83</v>
      </c>
      <c r="B26" s="60" t="s">
        <v>15</v>
      </c>
      <c r="C26" s="59"/>
      <c r="D26" s="83">
        <f>D23-D24</f>
        <v>2032712</v>
      </c>
      <c r="E26" s="83">
        <f>E23-E24</f>
        <v>6359013.0687164925</v>
      </c>
      <c r="F26" s="83">
        <f>F23-F24</f>
        <v>11478305.620397309</v>
      </c>
      <c r="G26" s="83">
        <f>G23-G24</f>
        <v>17520023.654799245</v>
      </c>
      <c r="H26" s="83">
        <f>H23-H24</f>
        <v>24623029.780749492</v>
      </c>
    </row>
    <row r="27" spans="1:8" x14ac:dyDescent="0.3">
      <c r="A27" s="5" t="s">
        <v>84</v>
      </c>
      <c r="B27" s="6" t="s">
        <v>15</v>
      </c>
      <c r="D27" s="8">
        <f>D26*30%</f>
        <v>609813.6</v>
      </c>
      <c r="E27" s="8">
        <f>E26*30%</f>
        <v>1907703.9206149476</v>
      </c>
      <c r="F27" s="8">
        <f>F26*30%</f>
        <v>3443491.6861191927</v>
      </c>
      <c r="G27" s="8">
        <f>G26*30%</f>
        <v>5256007.0964397732</v>
      </c>
      <c r="H27" s="8">
        <f>H26*30%</f>
        <v>7386908.9342248477</v>
      </c>
    </row>
    <row r="28" spans="1:8" x14ac:dyDescent="0.3">
      <c r="D28" s="8"/>
      <c r="E28" s="8"/>
      <c r="F28" s="8"/>
      <c r="G28" s="8"/>
      <c r="H28" s="8"/>
    </row>
    <row r="29" spans="1:8" s="37" customFormat="1" ht="15" thickBot="1" x14ac:dyDescent="0.35">
      <c r="A29" s="34" t="s">
        <v>85</v>
      </c>
      <c r="B29" s="35" t="s">
        <v>15</v>
      </c>
      <c r="C29" s="34"/>
      <c r="D29" s="84">
        <f>D26-D27</f>
        <v>1422898.4</v>
      </c>
      <c r="E29" s="84">
        <f>E26-E27</f>
        <v>4451309.1481015449</v>
      </c>
      <c r="F29" s="84">
        <f>F26-F27</f>
        <v>8034813.9342781156</v>
      </c>
      <c r="G29" s="84">
        <f>G26-G27</f>
        <v>12264016.558359472</v>
      </c>
      <c r="H29" s="84">
        <f>H26-H27</f>
        <v>17236120.846524645</v>
      </c>
    </row>
    <row r="30" spans="1:8" x14ac:dyDescent="0.3">
      <c r="D30" s="8"/>
      <c r="E30" s="8"/>
      <c r="F30" s="8"/>
      <c r="G30" s="8"/>
      <c r="H30" s="8"/>
    </row>
    <row r="31" spans="1:8" x14ac:dyDescent="0.3">
      <c r="D31" s="8"/>
      <c r="E31" s="8"/>
      <c r="F31" s="8"/>
      <c r="G31" s="8"/>
      <c r="H31" s="8"/>
    </row>
    <row r="32" spans="1:8" s="37" customFormat="1" x14ac:dyDescent="0.3">
      <c r="A32" s="27" t="s">
        <v>54</v>
      </c>
      <c r="B32" s="28"/>
      <c r="C32" s="27"/>
      <c r="D32" s="29"/>
      <c r="E32" s="29"/>
      <c r="F32" s="29"/>
      <c r="G32" s="29"/>
      <c r="H32" s="2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showGridLines="0" zoomScaleNormal="100" workbookViewId="0">
      <selection activeCell="E19" sqref="E19"/>
    </sheetView>
  </sheetViews>
  <sheetFormatPr defaultRowHeight="14.4" x14ac:dyDescent="0.3"/>
  <cols>
    <col min="1" max="1" width="21.109375" bestFit="1" customWidth="1"/>
    <col min="4" max="8" width="12.6640625" bestFit="1" customWidth="1"/>
  </cols>
  <sheetData>
    <row r="1" spans="1:8" x14ac:dyDescent="0.3">
      <c r="A1" s="1" t="s">
        <v>99</v>
      </c>
      <c r="B1" s="2"/>
      <c r="C1" s="1"/>
      <c r="D1" s="1"/>
      <c r="E1" s="1"/>
      <c r="F1" s="1"/>
      <c r="G1" s="1"/>
      <c r="H1" s="1"/>
    </row>
    <row r="2" spans="1:8" x14ac:dyDescent="0.3">
      <c r="A2" s="1" t="s">
        <v>65</v>
      </c>
      <c r="B2" s="2" t="s">
        <v>2</v>
      </c>
      <c r="C2" s="1"/>
      <c r="D2" s="3">
        <v>1</v>
      </c>
      <c r="E2" s="3">
        <f>D2+1</f>
        <v>2</v>
      </c>
      <c r="F2" s="3">
        <f t="shared" ref="F2:H2" si="0">E2+1</f>
        <v>3</v>
      </c>
      <c r="G2" s="3">
        <f t="shared" si="0"/>
        <v>4</v>
      </c>
      <c r="H2" s="3">
        <f t="shared" si="0"/>
        <v>5</v>
      </c>
    </row>
    <row r="3" spans="1:8" x14ac:dyDescent="0.3">
      <c r="A3" s="1" t="s">
        <v>1</v>
      </c>
      <c r="B3" s="2"/>
      <c r="C3" s="1"/>
      <c r="D3" s="4">
        <f>'Input Sheet'!D3</f>
        <v>45382</v>
      </c>
      <c r="E3" s="4">
        <f>'Input Sheet'!E3</f>
        <v>45747</v>
      </c>
      <c r="F3" s="4">
        <f>'Input Sheet'!F3</f>
        <v>46112</v>
      </c>
      <c r="G3" s="4">
        <f>'Input Sheet'!G3</f>
        <v>46477</v>
      </c>
      <c r="H3" s="4">
        <f>'Input Sheet'!H3</f>
        <v>46843</v>
      </c>
    </row>
    <row r="4" spans="1:8" ht="15.6" x14ac:dyDescent="0.3">
      <c r="A4" s="12" t="s">
        <v>100</v>
      </c>
      <c r="B4" s="6"/>
      <c r="C4" s="5"/>
      <c r="D4" s="8"/>
      <c r="E4" s="8"/>
      <c r="F4" s="8"/>
      <c r="G4" s="8"/>
      <c r="H4" s="8"/>
    </row>
    <row r="5" spans="1:8" x14ac:dyDescent="0.3">
      <c r="A5" s="5" t="s">
        <v>95</v>
      </c>
      <c r="B5" s="6" t="s">
        <v>15</v>
      </c>
      <c r="C5" s="5"/>
      <c r="D5" s="46">
        <f>CFS!D23</f>
        <v>3641639.509167878</v>
      </c>
      <c r="E5" s="46">
        <f>CFS!E23</f>
        <v>5701588.9678364284</v>
      </c>
      <c r="F5" s="46">
        <f>CFS!F23</f>
        <v>8255927.8840593854</v>
      </c>
      <c r="G5" s="46">
        <f>CFS!G23</f>
        <v>11377775.816393623</v>
      </c>
      <c r="H5" s="46">
        <f>CFS!H23</f>
        <v>15145482.827967077</v>
      </c>
    </row>
    <row r="6" spans="1:8" x14ac:dyDescent="0.3">
      <c r="A6" s="5" t="s">
        <v>104</v>
      </c>
      <c r="B6" s="6" t="s">
        <v>15</v>
      </c>
      <c r="C6" s="74"/>
      <c r="D6" s="8">
        <f>AS!C9+'P&amp;L'!D15+'P&amp;L'!D16</f>
        <v>39171200</v>
      </c>
      <c r="E6" s="8">
        <f>AS!D9+'P&amp;L'!E15+'P&amp;L'!E16</f>
        <v>38569184</v>
      </c>
      <c r="F6" s="8">
        <f>AS!E9+'P&amp;L'!F15+'P&amp;L'!F16</f>
        <v>38326306.879999995</v>
      </c>
      <c r="G6" s="8">
        <f>AS!F9+'P&amp;L'!G15+'P&amp;L'!G16</f>
        <v>38419554.761600003</v>
      </c>
      <c r="H6" s="8">
        <f>AS!G9+'P&amp;L'!H15+'P&amp;L'!H16</f>
        <v>38830081.226911999</v>
      </c>
    </row>
    <row r="7" spans="1:8" x14ac:dyDescent="0.3">
      <c r="A7" s="5"/>
      <c r="B7" s="6"/>
      <c r="C7" s="5"/>
      <c r="D7" s="8"/>
      <c r="E7" s="8"/>
      <c r="F7" s="8"/>
      <c r="G7" s="8"/>
      <c r="H7" s="8"/>
    </row>
    <row r="8" spans="1:8" ht="15" thickBot="1" x14ac:dyDescent="0.35">
      <c r="A8" s="41" t="s">
        <v>96</v>
      </c>
      <c r="B8" s="42" t="s">
        <v>97</v>
      </c>
      <c r="C8" s="41"/>
      <c r="D8" s="43">
        <f>SUM(D5:D7)</f>
        <v>42812839.50916788</v>
      </c>
      <c r="E8" s="43">
        <f>SUM(E5:E7)</f>
        <v>44270772.967836425</v>
      </c>
      <c r="F8" s="43">
        <f>SUM(F5:F7)</f>
        <v>46582234.76405938</v>
      </c>
      <c r="G8" s="43">
        <f>SUM(G5:G7)</f>
        <v>49797330.577993624</v>
      </c>
      <c r="H8" s="43">
        <f>SUM(H5:H7)</f>
        <v>53975564.054879077</v>
      </c>
    </row>
    <row r="9" spans="1:8" ht="15" thickTop="1" x14ac:dyDescent="0.3">
      <c r="A9" s="5"/>
      <c r="B9" s="6"/>
      <c r="C9" s="5"/>
      <c r="D9" s="8"/>
      <c r="E9" s="8"/>
      <c r="F9" s="8"/>
      <c r="G9" s="8"/>
      <c r="H9" s="8"/>
    </row>
    <row r="10" spans="1:8" x14ac:dyDescent="0.3">
      <c r="A10" s="5"/>
      <c r="B10" s="6"/>
      <c r="C10" s="5"/>
      <c r="D10" s="8"/>
      <c r="E10" s="8"/>
      <c r="F10" s="8"/>
      <c r="G10" s="8"/>
      <c r="H10" s="8"/>
    </row>
    <row r="11" spans="1:8" ht="15.6" x14ac:dyDescent="0.3">
      <c r="A11" s="12" t="s">
        <v>101</v>
      </c>
      <c r="B11" s="6"/>
      <c r="C11" s="5"/>
      <c r="D11" s="8"/>
      <c r="E11" s="8"/>
      <c r="F11" s="8"/>
      <c r="G11" s="8"/>
      <c r="H11" s="8"/>
    </row>
    <row r="12" spans="1:8" x14ac:dyDescent="0.3">
      <c r="A12" s="5" t="s">
        <v>45</v>
      </c>
      <c r="B12" s="6"/>
      <c r="C12" s="5"/>
      <c r="D12" s="8">
        <f>'Input Sheet'!C101</f>
        <v>24096000</v>
      </c>
      <c r="E12" s="8">
        <f>D12</f>
        <v>24096000</v>
      </c>
      <c r="F12" s="8">
        <f>E12</f>
        <v>24096000</v>
      </c>
      <c r="G12" s="8">
        <f>F12</f>
        <v>24096000</v>
      </c>
      <c r="H12" s="8">
        <f>G12</f>
        <v>24096000</v>
      </c>
    </row>
    <row r="13" spans="1:8" x14ac:dyDescent="0.3">
      <c r="A13" s="5" t="s">
        <v>102</v>
      </c>
      <c r="B13" s="6"/>
      <c r="C13" s="5"/>
      <c r="D13" s="85">
        <f>'P&amp;L'!D29+3660160</f>
        <v>5083058.4000000004</v>
      </c>
      <c r="E13" s="85">
        <f>'P&amp;L'!E29+4860132.24611562</f>
        <v>9311441.3942171652</v>
      </c>
      <c r="F13" s="85">
        <f>'P&amp;L'!F29+6746401.72668743</f>
        <v>14781215.660965547</v>
      </c>
      <c r="G13" s="85">
        <f>'P&amp;L'!G29+9332771.1329393</f>
        <v>21596787.691298772</v>
      </c>
      <c r="H13" s="85">
        <f>'P&amp;L'!H29+12643443.2083544</f>
        <v>29879564.054879047</v>
      </c>
    </row>
    <row r="14" spans="1:8" x14ac:dyDescent="0.3">
      <c r="A14" s="5" t="s">
        <v>44</v>
      </c>
      <c r="B14" s="6" t="s">
        <v>15</v>
      </c>
      <c r="C14" s="74"/>
      <c r="D14" s="8">
        <f>DS!D9</f>
        <v>13633781.109167878</v>
      </c>
      <c r="E14" s="8">
        <f>DS!E9</f>
        <v>10863331.573619258</v>
      </c>
      <c r="F14" s="8">
        <f>DS!F9</f>
        <v>7705019.1030938318</v>
      </c>
      <c r="G14" s="8">
        <f>DS!G9</f>
        <v>4104542.8866948457</v>
      </c>
      <c r="H14" s="8">
        <f>DS!H9</f>
        <v>0</v>
      </c>
    </row>
    <row r="15" spans="1:8" x14ac:dyDescent="0.3">
      <c r="A15" s="5"/>
      <c r="B15" s="6"/>
      <c r="C15" s="5"/>
      <c r="D15" s="8"/>
      <c r="E15" s="8"/>
      <c r="F15" s="8"/>
      <c r="G15" s="8"/>
      <c r="H15" s="8"/>
    </row>
    <row r="16" spans="1:8" ht="15" thickBot="1" x14ac:dyDescent="0.35">
      <c r="A16" s="41" t="s">
        <v>98</v>
      </c>
      <c r="B16" s="42" t="s">
        <v>15</v>
      </c>
      <c r="C16" s="41"/>
      <c r="D16" s="43">
        <f>D12+D13+D14</f>
        <v>42812839.50916788</v>
      </c>
      <c r="E16" s="43">
        <f>E12+E13+E14</f>
        <v>44270772.967836425</v>
      </c>
      <c r="F16" s="43">
        <f>F12+F13+F14</f>
        <v>46582234.76405938</v>
      </c>
      <c r="G16" s="43">
        <f>G12+G13+G14</f>
        <v>49797330.577993616</v>
      </c>
      <c r="H16" s="43">
        <f>H12+H13+H14</f>
        <v>53975564.054879047</v>
      </c>
    </row>
    <row r="17" spans="1:8" ht="15" thickTop="1" x14ac:dyDescent="0.3">
      <c r="A17" s="5"/>
      <c r="B17" s="6"/>
      <c r="C17" s="5"/>
      <c r="D17" s="8"/>
      <c r="E17" s="8"/>
      <c r="F17" s="8"/>
      <c r="G17" s="8"/>
      <c r="H17" s="8"/>
    </row>
    <row r="18" spans="1:8" x14ac:dyDescent="0.3">
      <c r="A18" s="5"/>
      <c r="B18" s="6"/>
      <c r="C18" s="5"/>
      <c r="D18" s="8"/>
      <c r="E18" s="8"/>
      <c r="F18" s="8"/>
      <c r="G18" s="8"/>
      <c r="H18" s="8"/>
    </row>
    <row r="19" spans="1:8" x14ac:dyDescent="0.3">
      <c r="A19" s="75" t="s">
        <v>103</v>
      </c>
      <c r="B19" s="75" t="s">
        <v>15</v>
      </c>
      <c r="C19" s="76"/>
      <c r="D19" s="77">
        <f>D16-D8</f>
        <v>0</v>
      </c>
      <c r="E19" s="77">
        <f>E16-E8</f>
        <v>0</v>
      </c>
      <c r="F19" s="77">
        <f>F16-F8</f>
        <v>0</v>
      </c>
      <c r="G19" s="77">
        <f>G16-G8</f>
        <v>0</v>
      </c>
      <c r="H19" s="77">
        <f>H16-H8</f>
        <v>0</v>
      </c>
    </row>
    <row r="20" spans="1:8" x14ac:dyDescent="0.3">
      <c r="A20" s="5"/>
      <c r="B20" s="6"/>
      <c r="C20" s="5"/>
      <c r="D20" s="8"/>
      <c r="E20" s="8"/>
      <c r="F20" s="8"/>
      <c r="G20" s="8"/>
      <c r="H20" s="8"/>
    </row>
    <row r="21" spans="1:8" x14ac:dyDescent="0.3">
      <c r="A21" s="5"/>
      <c r="B21" s="6"/>
      <c r="C21" s="5"/>
      <c r="D21" s="8"/>
      <c r="E21" s="8"/>
      <c r="F21" s="8"/>
      <c r="G21" s="8"/>
      <c r="H21" s="8"/>
    </row>
    <row r="22" spans="1:8" x14ac:dyDescent="0.3">
      <c r="A22" s="27" t="s">
        <v>54</v>
      </c>
      <c r="B22" s="28"/>
      <c r="C22" s="27"/>
      <c r="D22" s="29"/>
      <c r="E22" s="29"/>
      <c r="F22" s="29"/>
      <c r="G22" s="29"/>
      <c r="H22" s="29"/>
    </row>
  </sheetData>
  <conditionalFormatting sqref="C19">
    <cfRule type="containsText" dxfId="3" priority="1" operator="containsText" text="Error">
      <formula>NOT(ISERROR(SEARCH("Error",C19)))</formula>
    </cfRule>
    <cfRule type="containsText" dxfId="2" priority="2" operator="containsText" text="OK">
      <formula>NOT(ISERROR(SEARCH("OK",C19)))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6"/>
  <sheetViews>
    <sheetView showGridLines="0" zoomScaleNormal="100" workbookViewId="0">
      <selection activeCell="C2" sqref="C2"/>
    </sheetView>
  </sheetViews>
  <sheetFormatPr defaultRowHeight="14.4" x14ac:dyDescent="0.3"/>
  <cols>
    <col min="1" max="1" width="37.6640625" bestFit="1" customWidth="1"/>
    <col min="2" max="2" width="5.44140625" bestFit="1" customWidth="1"/>
    <col min="4" max="8" width="12.6640625" bestFit="1" customWidth="1"/>
  </cols>
  <sheetData>
    <row r="1" spans="1:8" x14ac:dyDescent="0.3">
      <c r="A1" s="1" t="s">
        <v>115</v>
      </c>
      <c r="B1" s="2"/>
      <c r="C1" s="1"/>
      <c r="D1" s="1"/>
      <c r="E1" s="1"/>
      <c r="F1" s="1"/>
      <c r="G1" s="1"/>
      <c r="H1" s="1"/>
    </row>
    <row r="2" spans="1:8" x14ac:dyDescent="0.3">
      <c r="A2" s="1" t="s">
        <v>65</v>
      </c>
      <c r="B2" s="2" t="s">
        <v>2</v>
      </c>
      <c r="C2" s="1"/>
      <c r="D2" s="3">
        <v>1</v>
      </c>
      <c r="E2" s="3">
        <f>D2+1</f>
        <v>2</v>
      </c>
      <c r="F2" s="3">
        <f t="shared" ref="F2:H2" si="0">E2+1</f>
        <v>3</v>
      </c>
      <c r="G2" s="3">
        <f t="shared" si="0"/>
        <v>4</v>
      </c>
      <c r="H2" s="3">
        <f t="shared" si="0"/>
        <v>5</v>
      </c>
    </row>
    <row r="3" spans="1:8" x14ac:dyDescent="0.3">
      <c r="A3" s="1" t="s">
        <v>1</v>
      </c>
      <c r="B3" s="2"/>
      <c r="C3" s="1"/>
      <c r="D3" s="4">
        <f>'Input Sheet'!D3</f>
        <v>45382</v>
      </c>
      <c r="E3" s="4">
        <f>'Input Sheet'!E3</f>
        <v>45747</v>
      </c>
      <c r="F3" s="4">
        <f>'Input Sheet'!F3</f>
        <v>46112</v>
      </c>
      <c r="G3" s="4">
        <f>'Input Sheet'!G3</f>
        <v>46477</v>
      </c>
      <c r="H3" s="4">
        <f>'Input Sheet'!H3</f>
        <v>46843</v>
      </c>
    </row>
    <row r="4" spans="1:8" x14ac:dyDescent="0.3">
      <c r="A4" s="7"/>
      <c r="B4" s="6"/>
      <c r="C4" s="5"/>
      <c r="D4" s="8"/>
      <c r="E4" s="8"/>
      <c r="F4" s="8"/>
      <c r="G4" s="8"/>
      <c r="H4" s="8"/>
    </row>
    <row r="5" spans="1:8" x14ac:dyDescent="0.3">
      <c r="A5" s="7" t="s">
        <v>116</v>
      </c>
      <c r="B5" s="6"/>
      <c r="C5" s="5"/>
      <c r="D5" s="8"/>
      <c r="E5" s="8"/>
      <c r="F5" s="8"/>
      <c r="G5" s="8"/>
      <c r="H5" s="8"/>
    </row>
    <row r="6" spans="1:8" x14ac:dyDescent="0.3">
      <c r="A6" s="5" t="s">
        <v>107</v>
      </c>
      <c r="B6" s="6" t="s">
        <v>15</v>
      </c>
      <c r="C6" s="5"/>
      <c r="D6" s="85">
        <f>'P&amp;L'!D29</f>
        <v>1422898.4</v>
      </c>
      <c r="E6" s="85">
        <f>'P&amp;L'!E29</f>
        <v>4451309.1481015449</v>
      </c>
      <c r="F6" s="85">
        <f>'P&amp;L'!F29</f>
        <v>8034813.9342781156</v>
      </c>
      <c r="G6" s="85">
        <f>'P&amp;L'!G29</f>
        <v>12264016.558359472</v>
      </c>
      <c r="H6" s="85">
        <f>'P&amp;L'!H29</f>
        <v>17236120.846524645</v>
      </c>
    </row>
    <row r="7" spans="1:8" x14ac:dyDescent="0.3">
      <c r="A7" s="5" t="s">
        <v>108</v>
      </c>
      <c r="B7" s="6" t="s">
        <v>15</v>
      </c>
      <c r="C7" s="5"/>
      <c r="D7" s="8">
        <f>AS!C8</f>
        <v>2400000</v>
      </c>
      <c r="E7" s="8">
        <f>AS!D8</f>
        <v>2112000</v>
      </c>
      <c r="F7" s="8">
        <f>AS!E8</f>
        <v>1858560</v>
      </c>
      <c r="G7" s="8">
        <f>AS!F8</f>
        <v>1635532.8</v>
      </c>
      <c r="H7" s="8">
        <f>AS!G8</f>
        <v>1439268.8639999998</v>
      </c>
    </row>
    <row r="8" spans="1:8" x14ac:dyDescent="0.3">
      <c r="A8" s="5" t="s">
        <v>109</v>
      </c>
      <c r="B8" s="6" t="s">
        <v>15</v>
      </c>
      <c r="C8" s="5"/>
      <c r="D8" s="8">
        <f>'P&amp;L'!D24</f>
        <v>2248960</v>
      </c>
      <c r="E8" s="8">
        <f>'P&amp;L'!E24</f>
        <v>1908729.355283503</v>
      </c>
      <c r="F8" s="8">
        <f>'P&amp;L'!F24</f>
        <v>1520866.4203066963</v>
      </c>
      <c r="G8" s="8">
        <f>'P&amp;L'!G24</f>
        <v>1078702.6744331366</v>
      </c>
      <c r="H8" s="8">
        <f>'P&amp;L'!H24</f>
        <v>574636.00413727842</v>
      </c>
    </row>
    <row r="9" spans="1:8" x14ac:dyDescent="0.3">
      <c r="A9" s="59" t="s">
        <v>119</v>
      </c>
      <c r="B9" s="60" t="s">
        <v>15</v>
      </c>
      <c r="C9" s="59"/>
      <c r="D9" s="61">
        <f>SUM(D6:D8)</f>
        <v>6071858.4000000004</v>
      </c>
      <c r="E9" s="61">
        <f>SUM(E6:E8)</f>
        <v>8472038.5033850484</v>
      </c>
      <c r="F9" s="61">
        <f>SUM(F6:F8)</f>
        <v>11414240.354584811</v>
      </c>
      <c r="G9" s="61">
        <f>SUM(G6:G8)</f>
        <v>14978252.032792609</v>
      </c>
      <c r="H9" s="61">
        <f>SUM(H6:H8)</f>
        <v>19250025.714661922</v>
      </c>
    </row>
    <row r="10" spans="1:8" x14ac:dyDescent="0.3">
      <c r="A10" s="5"/>
      <c r="B10" s="6"/>
      <c r="C10" s="5"/>
      <c r="D10" s="8"/>
      <c r="E10" s="8"/>
      <c r="F10" s="8"/>
      <c r="G10" s="8"/>
      <c r="H10" s="8"/>
    </row>
    <row r="11" spans="1:8" x14ac:dyDescent="0.3">
      <c r="A11" s="7" t="s">
        <v>117</v>
      </c>
      <c r="B11" s="6"/>
      <c r="C11" s="5"/>
      <c r="D11" s="8"/>
      <c r="E11" s="8"/>
      <c r="F11" s="8"/>
      <c r="G11" s="8"/>
      <c r="H11" s="8"/>
    </row>
    <row r="12" spans="1:8" x14ac:dyDescent="0.3">
      <c r="A12" s="5" t="s">
        <v>110</v>
      </c>
      <c r="B12" s="6" t="s">
        <v>15</v>
      </c>
      <c r="C12" s="5"/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59" t="s">
        <v>117</v>
      </c>
      <c r="B13" s="80"/>
      <c r="C13" s="81"/>
      <c r="D13" s="82">
        <v>0</v>
      </c>
      <c r="E13" s="82">
        <v>0</v>
      </c>
      <c r="F13" s="82">
        <v>0</v>
      </c>
      <c r="G13" s="82">
        <v>0</v>
      </c>
      <c r="H13" s="82">
        <v>0</v>
      </c>
    </row>
    <row r="14" spans="1:8" x14ac:dyDescent="0.3">
      <c r="A14" s="5"/>
      <c r="B14" s="6"/>
      <c r="C14" s="5"/>
      <c r="D14" s="8"/>
      <c r="E14" s="8"/>
      <c r="F14" s="8"/>
      <c r="G14" s="8"/>
      <c r="H14" s="8"/>
    </row>
    <row r="15" spans="1:8" x14ac:dyDescent="0.3">
      <c r="A15" s="7" t="s">
        <v>120</v>
      </c>
      <c r="B15" s="6"/>
      <c r="C15" s="5"/>
      <c r="D15" s="8"/>
      <c r="E15" s="8"/>
      <c r="F15" s="8"/>
      <c r="G15" s="8"/>
      <c r="H15" s="8"/>
    </row>
    <row r="16" spans="1:8" x14ac:dyDescent="0.3">
      <c r="A16" s="5" t="s">
        <v>45</v>
      </c>
      <c r="B16" s="6" t="s">
        <v>15</v>
      </c>
      <c r="C16" s="5"/>
      <c r="D16" s="8">
        <v>0</v>
      </c>
      <c r="E16" s="8">
        <v>0</v>
      </c>
      <c r="F16" s="8">
        <v>0</v>
      </c>
      <c r="G16" s="8">
        <v>0</v>
      </c>
      <c r="H16" s="8">
        <v>0</v>
      </c>
    </row>
    <row r="17" spans="1:8" x14ac:dyDescent="0.3">
      <c r="A17" s="5" t="s">
        <v>118</v>
      </c>
      <c r="B17" s="6" t="s">
        <v>15</v>
      </c>
      <c r="C17" s="5"/>
      <c r="D17" s="85">
        <v>0</v>
      </c>
      <c r="E17" s="85">
        <v>0</v>
      </c>
      <c r="F17" s="85">
        <v>0</v>
      </c>
      <c r="G17" s="85">
        <v>0</v>
      </c>
      <c r="H17" s="85">
        <v>0</v>
      </c>
    </row>
    <row r="18" spans="1:8" x14ac:dyDescent="0.3">
      <c r="A18" s="5" t="s">
        <v>111</v>
      </c>
      <c r="B18" s="6" t="s">
        <v>15</v>
      </c>
      <c r="C18" s="5"/>
      <c r="D18" s="8">
        <f>-DS!D8</f>
        <v>-2430218.8908321224</v>
      </c>
      <c r="E18" s="8">
        <f>-DS!E8</f>
        <v>-2770449.5355486195</v>
      </c>
      <c r="F18" s="8">
        <f>-DS!F8</f>
        <v>-3158312.4705254259</v>
      </c>
      <c r="G18" s="8">
        <f>-DS!G8</f>
        <v>-3600476.2163989861</v>
      </c>
      <c r="H18" s="8">
        <f>-DS!H8</f>
        <v>-4104542.8866948457</v>
      </c>
    </row>
    <row r="19" spans="1:8" x14ac:dyDescent="0.3">
      <c r="A19" s="59" t="s">
        <v>121</v>
      </c>
      <c r="B19" s="60" t="s">
        <v>15</v>
      </c>
      <c r="C19" s="59"/>
      <c r="D19" s="61">
        <f>SUM(D16:D18)</f>
        <v>-2430218.8908321224</v>
      </c>
      <c r="E19" s="61">
        <f>SUM(E16:E18)</f>
        <v>-2770449.5355486195</v>
      </c>
      <c r="F19" s="61">
        <f>SUM(F16:F18)</f>
        <v>-3158312.4705254259</v>
      </c>
      <c r="G19" s="61">
        <f>SUM(G16:G18)</f>
        <v>-3600476.2163989861</v>
      </c>
      <c r="H19" s="61">
        <f>SUM(H16:H18)</f>
        <v>-4104542.8866948457</v>
      </c>
    </row>
    <row r="20" spans="1:8" x14ac:dyDescent="0.3">
      <c r="A20" s="5"/>
      <c r="B20" s="6"/>
      <c r="C20" s="5"/>
      <c r="D20" s="8"/>
      <c r="E20" s="8"/>
      <c r="F20" s="8"/>
      <c r="G20" s="8"/>
      <c r="H20" s="8"/>
    </row>
    <row r="21" spans="1:8" x14ac:dyDescent="0.3">
      <c r="A21" s="7" t="s">
        <v>112</v>
      </c>
      <c r="B21" s="15" t="s">
        <v>15</v>
      </c>
      <c r="C21" s="7"/>
      <c r="D21" s="78"/>
      <c r="E21" s="78"/>
      <c r="F21" s="78"/>
      <c r="G21" s="78"/>
      <c r="H21" s="78"/>
    </row>
    <row r="22" spans="1:8" x14ac:dyDescent="0.3">
      <c r="A22" s="5" t="s">
        <v>113</v>
      </c>
      <c r="B22" s="6" t="s">
        <v>15</v>
      </c>
      <c r="C22" s="5"/>
      <c r="D22" s="8">
        <v>0</v>
      </c>
      <c r="E22" s="8">
        <v>0</v>
      </c>
      <c r="F22" s="8">
        <v>0</v>
      </c>
      <c r="G22" s="8">
        <v>0</v>
      </c>
      <c r="H22" s="8">
        <v>0</v>
      </c>
    </row>
    <row r="23" spans="1:8" ht="15" thickBot="1" x14ac:dyDescent="0.35">
      <c r="A23" s="79" t="s">
        <v>114</v>
      </c>
      <c r="B23" s="35" t="s">
        <v>15</v>
      </c>
      <c r="C23" s="34"/>
      <c r="D23" s="36">
        <f>D9+D13+D19+D22</f>
        <v>3641639.509167878</v>
      </c>
      <c r="E23" s="36">
        <f>E9+E13+E19+E22</f>
        <v>5701588.9678364284</v>
      </c>
      <c r="F23" s="36">
        <f>F9+F13+F19+F22</f>
        <v>8255927.8840593854</v>
      </c>
      <c r="G23" s="36">
        <f>G9+G13+G19+G22</f>
        <v>11377775.816393623</v>
      </c>
      <c r="H23" s="36">
        <f>H9+H13+H19+H22</f>
        <v>15145482.827967077</v>
      </c>
    </row>
    <row r="24" spans="1:8" x14ac:dyDescent="0.3">
      <c r="A24" s="5"/>
      <c r="B24" s="6"/>
      <c r="C24" s="5"/>
      <c r="D24" s="8"/>
      <c r="E24" s="8"/>
      <c r="F24" s="8"/>
      <c r="G24" s="8"/>
      <c r="H24" s="8"/>
    </row>
    <row r="25" spans="1:8" x14ac:dyDescent="0.3">
      <c r="A25" s="5"/>
      <c r="B25" s="6"/>
      <c r="C25" s="5"/>
      <c r="D25" s="8"/>
      <c r="E25" s="8"/>
      <c r="F25" s="8"/>
      <c r="G25" s="8"/>
      <c r="H25" s="8"/>
    </row>
    <row r="26" spans="1:8" x14ac:dyDescent="0.3">
      <c r="A26" s="27" t="s">
        <v>54</v>
      </c>
      <c r="B26" s="28"/>
      <c r="C26" s="27"/>
      <c r="D26" s="29"/>
      <c r="E26" s="29"/>
      <c r="F26" s="29"/>
      <c r="G26" s="29"/>
      <c r="H26" s="2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"/>
  <sheetViews>
    <sheetView showGridLines="0" zoomScale="110" zoomScaleNormal="110" workbookViewId="0">
      <selection activeCell="I4" sqref="I4"/>
    </sheetView>
  </sheetViews>
  <sheetFormatPr defaultRowHeight="14.4" x14ac:dyDescent="0.3"/>
  <cols>
    <col min="1" max="1" width="26.109375" customWidth="1"/>
    <col min="2" max="2" width="13.88671875" customWidth="1"/>
    <col min="3" max="3" width="14.44140625" bestFit="1" customWidth="1"/>
    <col min="4" max="7" width="12.88671875" bestFit="1" customWidth="1"/>
    <col min="8" max="8" width="14.44140625" bestFit="1" customWidth="1"/>
  </cols>
  <sheetData>
    <row r="1" spans="1:8" x14ac:dyDescent="0.3">
      <c r="A1" s="1" t="s">
        <v>65</v>
      </c>
      <c r="B1" s="2" t="s">
        <v>2</v>
      </c>
      <c r="C1" s="3">
        <v>0</v>
      </c>
      <c r="D1" s="3">
        <v>1</v>
      </c>
      <c r="E1" s="3">
        <f>D1+1</f>
        <v>2</v>
      </c>
      <c r="F1" s="3">
        <f t="shared" ref="F1:H1" si="0">E1+1</f>
        <v>3</v>
      </c>
      <c r="G1" s="3">
        <f t="shared" si="0"/>
        <v>4</v>
      </c>
      <c r="H1" s="3">
        <f t="shared" si="0"/>
        <v>5</v>
      </c>
    </row>
    <row r="2" spans="1:8" x14ac:dyDescent="0.3">
      <c r="A2" s="1" t="s">
        <v>1</v>
      </c>
      <c r="B2" s="2"/>
      <c r="C2" s="91">
        <f>'Input Sheet'!C4</f>
        <v>45017</v>
      </c>
      <c r="D2" s="4">
        <f>'Input Sheet'!D3</f>
        <v>45382</v>
      </c>
      <c r="E2" s="4">
        <f>'Input Sheet'!E3</f>
        <v>45747</v>
      </c>
      <c r="F2" s="4">
        <f>'Input Sheet'!F3</f>
        <v>46112</v>
      </c>
      <c r="G2" s="4">
        <f>'Input Sheet'!G3</f>
        <v>46477</v>
      </c>
      <c r="H2" s="4">
        <f>'Input Sheet'!H3</f>
        <v>46843</v>
      </c>
    </row>
    <row r="3" spans="1:8" x14ac:dyDescent="0.3">
      <c r="A3" s="44"/>
      <c r="B3" s="92"/>
      <c r="C3" s="93"/>
      <c r="D3" s="47"/>
      <c r="E3" s="47"/>
      <c r="F3" s="47"/>
      <c r="G3" s="47"/>
      <c r="H3" s="47"/>
    </row>
    <row r="4" spans="1:8" x14ac:dyDescent="0.3">
      <c r="A4" s="86" t="s">
        <v>124</v>
      </c>
      <c r="B4" s="87"/>
      <c r="C4" s="94"/>
      <c r="D4" s="95">
        <f>'P&amp;L'!D29</f>
        <v>1422898.4</v>
      </c>
      <c r="E4" s="95">
        <f>'P&amp;L'!E29</f>
        <v>4451309.1481015449</v>
      </c>
      <c r="F4" s="95">
        <f>'P&amp;L'!F29</f>
        <v>8034813.9342781156</v>
      </c>
      <c r="G4" s="95">
        <f>'P&amp;L'!G29</f>
        <v>12264016.558359472</v>
      </c>
      <c r="H4" s="95">
        <f>'P&amp;L'!H29</f>
        <v>17236120.846524645</v>
      </c>
    </row>
    <row r="5" spans="1:8" x14ac:dyDescent="0.3">
      <c r="A5" s="86" t="s">
        <v>130</v>
      </c>
      <c r="B5" s="87"/>
      <c r="C5" s="94"/>
      <c r="D5" s="95">
        <f>AS!C8</f>
        <v>2400000</v>
      </c>
      <c r="E5" s="95">
        <f>AS!D8</f>
        <v>2112000</v>
      </c>
      <c r="F5" s="95">
        <f>AS!E8</f>
        <v>1858560</v>
      </c>
      <c r="G5" s="95">
        <f>AS!F8</f>
        <v>1635532.8</v>
      </c>
      <c r="H5" s="95">
        <f>AS!G8</f>
        <v>1439268.8639999998</v>
      </c>
    </row>
    <row r="6" spans="1:8" x14ac:dyDescent="0.3">
      <c r="A6" s="86" t="s">
        <v>133</v>
      </c>
      <c r="B6" s="87"/>
      <c r="C6" s="95"/>
      <c r="D6" s="95">
        <v>0</v>
      </c>
      <c r="E6" s="95">
        <v>0</v>
      </c>
      <c r="F6" s="95">
        <v>0</v>
      </c>
      <c r="G6" s="95">
        <v>0</v>
      </c>
      <c r="H6" s="94">
        <v>0</v>
      </c>
    </row>
    <row r="7" spans="1:8" x14ac:dyDescent="0.3">
      <c r="A7" s="86" t="s">
        <v>129</v>
      </c>
      <c r="B7" s="87"/>
      <c r="C7" s="95"/>
      <c r="D7" s="95">
        <f>DS!D8</f>
        <v>2430218.8908321224</v>
      </c>
      <c r="E7" s="95">
        <f>DS!E8</f>
        <v>2770449.5355486195</v>
      </c>
      <c r="F7" s="95">
        <f>DS!F8</f>
        <v>3158312.4705254259</v>
      </c>
      <c r="G7" s="95">
        <f>DS!G8</f>
        <v>3600476.2163989861</v>
      </c>
      <c r="H7" s="95">
        <f>DS!H8</f>
        <v>4104542.8866948457</v>
      </c>
    </row>
    <row r="8" spans="1:8" x14ac:dyDescent="0.3">
      <c r="A8" s="114" t="s">
        <v>128</v>
      </c>
      <c r="B8" s="114"/>
      <c r="C8" s="96"/>
      <c r="D8" s="96">
        <v>0</v>
      </c>
      <c r="E8" s="96">
        <v>0</v>
      </c>
      <c r="F8" s="96">
        <v>0</v>
      </c>
      <c r="G8" s="97">
        <v>0</v>
      </c>
      <c r="H8" s="98">
        <v>0</v>
      </c>
    </row>
    <row r="9" spans="1:8" x14ac:dyDescent="0.3">
      <c r="A9" t="s">
        <v>127</v>
      </c>
      <c r="B9" s="88"/>
      <c r="C9" s="95">
        <f>-'Input Sheet'!C101</f>
        <v>-24096000</v>
      </c>
      <c r="D9" s="95">
        <f>D4+D5-D6-D7+D8</f>
        <v>1392679.5091678775</v>
      </c>
      <c r="E9" s="95">
        <f>E4+E5-E6-E7+E8</f>
        <v>3792859.6125529255</v>
      </c>
      <c r="F9" s="95">
        <f>F4+F5-F6-F7+F8</f>
        <v>6735061.4637526898</v>
      </c>
      <c r="G9" s="95">
        <f>G4+G5-G6-G7+G8</f>
        <v>10299073.141960487</v>
      </c>
      <c r="H9" s="95">
        <f>H4+H5-H6-H7+H8</f>
        <v>14570846.8238298</v>
      </c>
    </row>
    <row r="10" spans="1:8" ht="15.6" x14ac:dyDescent="0.3">
      <c r="A10" s="90" t="s">
        <v>123</v>
      </c>
      <c r="B10" s="106">
        <f>IRR(C9:H9)</f>
        <v>0.11723157847453791</v>
      </c>
      <c r="C10" s="89"/>
    </row>
    <row r="11" spans="1:8" x14ac:dyDescent="0.3">
      <c r="A11" t="s">
        <v>125</v>
      </c>
      <c r="B11" s="99">
        <f>NPV(B13,D9:H9)+C9</f>
        <v>-5581442.0883615352</v>
      </c>
    </row>
    <row r="13" spans="1:8" x14ac:dyDescent="0.3">
      <c r="A13" t="s">
        <v>126</v>
      </c>
      <c r="B13" s="100">
        <v>0.2</v>
      </c>
    </row>
    <row r="15" spans="1:8" x14ac:dyDescent="0.3">
      <c r="A15" t="s">
        <v>137</v>
      </c>
    </row>
    <row r="18" spans="3:5" x14ac:dyDescent="0.3">
      <c r="C18" s="24"/>
      <c r="D18" s="24"/>
      <c r="E18" s="24"/>
    </row>
  </sheetData>
  <mergeCells count="1">
    <mergeCell ref="A8:B8"/>
  </mergeCells>
  <conditionalFormatting sqref="C10:C11">
    <cfRule type="containsText" dxfId="1" priority="1" operator="containsText" text="Reject">
      <formula>NOT(ISERROR(SEARCH("Reject",C10)))</formula>
    </cfRule>
    <cfRule type="containsText" dxfId="0" priority="2" operator="containsText" text="Accept">
      <formula>NOT(ISERROR(SEARCH("Accept",C10)))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Input Sheet</vt:lpstr>
      <vt:lpstr>AS</vt:lpstr>
      <vt:lpstr>DS</vt:lpstr>
      <vt:lpstr>P&amp;L</vt:lpstr>
      <vt:lpstr>BS</vt:lpstr>
      <vt:lpstr>CFS</vt:lpstr>
      <vt:lpstr>Viability Analysis</vt:lpstr>
      <vt:lpstr>MILLION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2026-03-09T16:17:02Z</dcterms:modified>
</cp:coreProperties>
</file>