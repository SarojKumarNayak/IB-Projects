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OJ\Desktop\MeritShot\Financial Ratios Case Study\"/>
    </mc:Choice>
  </mc:AlternateContent>
  <xr:revisionPtr revIDLastSave="0" documentId="8_{859CB070-38D3-48D5-8A8F-18EEBCB2C217}" xr6:coauthVersionLast="47" xr6:coauthVersionMax="47" xr10:uidLastSave="{00000000-0000-0000-0000-000000000000}"/>
  <bookViews>
    <workbookView xWindow="-108" yWindow="-108" windowWidth="23256" windowHeight="12456" tabRatio="809" activeTab="4" xr2:uid="{48569C4F-3D21-4089-9B64-78920871A2E5}"/>
  </bookViews>
  <sheets>
    <sheet name="Charts" sheetId="15" r:id="rId1"/>
    <sheet name="Dashboard" sheetId="14" r:id="rId2"/>
    <sheet name="Config" sheetId="13" state="hidden" r:id="rId3"/>
    <sheet name="PAG-2" sheetId="1" r:id="rId4"/>
    <sheet name="BS" sheetId="2" r:id="rId5"/>
    <sheet name="P&amp;L" sheetId="3" r:id="rId6"/>
    <sheet name="CFS" sheetId="4" r:id="rId7"/>
    <sheet name="Revenue generation breakup" sheetId="18" r:id="rId8"/>
    <sheet name="All Costs" sheetId="20" r:id="rId9"/>
    <sheet name="DAS" sheetId="5" r:id="rId10"/>
    <sheet name="BEA" sheetId="6" r:id="rId11"/>
    <sheet name="WC" sheetId="9" r:id="rId12"/>
    <sheet name="Debt Schedule" sheetId="19" r:id="rId13"/>
    <sheet name="Valuation-DCF-Terminal Growth " sheetId="12" r:id="rId14"/>
    <sheet name="Valuation-Comparables" sheetId="17" r:id="rId15"/>
    <sheet name="Valuation-VC " sheetId="16" r:id="rId16"/>
  </sheets>
  <externalReferences>
    <externalReference r:id="rId17"/>
    <externalReference r:id="rId18"/>
    <externalReference r:id="rId19"/>
  </externalReferences>
  <definedNames>
    <definedName name="\a" localSheetId="14">#REF!</definedName>
    <definedName name="\a">#REF!</definedName>
    <definedName name="\b" localSheetId="14">#REF!</definedName>
    <definedName name="\b">#REF!</definedName>
    <definedName name="__FDS_HYPERLINK_TOGGLE_STATE__" hidden="1">"ON"</definedName>
    <definedName name="__IntlFixup" hidden="1">TRUE</definedName>
    <definedName name="__IntlFixupTable" localSheetId="15" hidden="1">#REF!</definedName>
    <definedName name="__IntlFixupTable" hidden="1">#REF!</definedName>
    <definedName name="__key1" localSheetId="14" hidden="1">#REF!</definedName>
    <definedName name="__key1" hidden="1">#REF!</definedName>
    <definedName name="_ACC1">#REF!</definedName>
    <definedName name="_ADD1">#REF!</definedName>
    <definedName name="_ADD2">#REF!</definedName>
    <definedName name="_ADD3">#REF!</definedName>
    <definedName name="_CAP1">#REF!</definedName>
    <definedName name="_CAP2">#REF!</definedName>
    <definedName name="_CAP3">#REF!</definedName>
    <definedName name="_dcc4">#REF!</definedName>
    <definedName name="_Dist_Values" localSheetId="14" hidden="1">#REF!</definedName>
    <definedName name="_Dist_Values" hidden="1">#REF!</definedName>
    <definedName name="_Fill" hidden="1">#REF!</definedName>
    <definedName name="_IRR1">#REF!</definedName>
    <definedName name="_IRR2">#REF!</definedName>
    <definedName name="_IRR3">#REF!</definedName>
    <definedName name="_IRR4">#REF!</definedName>
    <definedName name="_IRR5">#REF!</definedName>
    <definedName name="_IRR6">#REF!</definedName>
    <definedName name="_Key1" hidden="1">#REF!</definedName>
    <definedName name="_Mei97">#REF!</definedName>
    <definedName name="_NO1">#REF!</definedName>
    <definedName name="_NO2">#REF!</definedName>
    <definedName name="_NO3">#REF!</definedName>
    <definedName name="_NO4">#REF!</definedName>
    <definedName name="_NO5">#REF!</definedName>
    <definedName name="_NO6">#REF!</definedName>
    <definedName name="_NO7">#REF!</definedName>
    <definedName name="_Order1" hidden="1">0</definedName>
    <definedName name="_Order2" hidden="1">255</definedName>
    <definedName name="_Parse_Out" hidden="1">#REF!</definedName>
    <definedName name="_RAN1">#REF!</definedName>
    <definedName name="_RAN2">#REF!</definedName>
    <definedName name="_RAN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2">#REF!</definedName>
    <definedName name="A" localSheetId="0" hidden="1">{#N/A,#N/A,FALSE,"Balance Sheets";#N/A,#N/A,FALSE,"96 Conservative";#N/A,#N/A,FALSE,"96 Possible"}</definedName>
    <definedName name="A" localSheetId="2" hidden="1">{#N/A,#N/A,FALSE,"Balance Sheets";#N/A,#N/A,FALSE,"96 Conservative";#N/A,#N/A,FALSE,"96 Possible"}</definedName>
    <definedName name="A" localSheetId="1" hidden="1">{#N/A,#N/A,FALSE,"Balance Sheets";#N/A,#N/A,FALSE,"96 Conservative";#N/A,#N/A,FALSE,"96 Possible"}</definedName>
    <definedName name="A" localSheetId="12" hidden="1">{#N/A,#N/A,FALSE,"Balance Sheets";#N/A,#N/A,FALSE,"96 Conservative";#N/A,#N/A,FALSE,"96 Possible"}</definedName>
    <definedName name="A" localSheetId="14" hidden="1">{#N/A,#N/A,FALSE,"Balance Sheets";#N/A,#N/A,FALSE,"96 Conservative";#N/A,#N/A,FALSE,"96 Possible"}</definedName>
    <definedName name="A" localSheetId="13" hidden="1">{#N/A,#N/A,FALSE,"Balance Sheets";#N/A,#N/A,FALSE,"96 Conservative";#N/A,#N/A,FALSE,"96 Possible"}</definedName>
    <definedName name="A" localSheetId="15" hidden="1">{#N/A,#N/A,FALSE,"Balance Sheets";#N/A,#N/A,FALSE,"96 Conservative";#N/A,#N/A,FALSE,"96 Possible"}</definedName>
    <definedName name="A" hidden="1">{#N/A,#N/A,FALSE,"Balance Sheets";#N/A,#N/A,FALSE,"96 Conservative";#N/A,#N/A,FALSE,"96 Possible"}</definedName>
    <definedName name="a_case">#REF!</definedName>
    <definedName name="aa" hidden="1">#REF!</definedName>
    <definedName name="AA.Report.Files" localSheetId="15" hidden="1">#REF!</definedName>
    <definedName name="AA.Report.Files" hidden="1">#REF!</definedName>
    <definedName name="AA.Reports.Available" localSheetId="15" hidden="1">#REF!</definedName>
    <definedName name="AA.Reports.Available" hidden="1">#REF!</definedName>
    <definedName name="aaa">#REF!</definedName>
    <definedName name="aaaa">#REF!</definedName>
    <definedName name="aaaaaaa" hidden="1">#REF!</definedName>
    <definedName name="aaaaaaaaaa">#REF!</definedName>
    <definedName name="aaaaaaaaaaa">#REF!</definedName>
    <definedName name="aaaaaaaaaaaaaarrrrrrrrr">#REF!</definedName>
    <definedName name="aaaaaaaaassssssssssssssshhhh">#REF!</definedName>
    <definedName name="aashi">#REF!</definedName>
    <definedName name="abc" localSheetId="0">{17}</definedName>
    <definedName name="abc" localSheetId="2">{17}</definedName>
    <definedName name="abc" localSheetId="1">{17}</definedName>
    <definedName name="abc" localSheetId="12">{17}</definedName>
    <definedName name="abc" localSheetId="14">{17}</definedName>
    <definedName name="abc" localSheetId="13">{17}</definedName>
    <definedName name="abc" localSheetId="15">{17}</definedName>
    <definedName name="abc">{17}</definedName>
    <definedName name="abcd">#REF!</definedName>
    <definedName name="abcdfe" hidden="1">#REF!</definedName>
    <definedName name="AC">#REF!</definedName>
    <definedName name="ACapital" localSheetId="15">#REF!</definedName>
    <definedName name="ACapital">#REF!</definedName>
    <definedName name="AcqData">#REF!</definedName>
    <definedName name="AcqData2">#REF!</definedName>
    <definedName name="ADD">#REF!</definedName>
    <definedName name="ADR_SWITCH">#REF!</definedName>
    <definedName name="AllTables" localSheetId="0">{17}</definedName>
    <definedName name="AllTables" localSheetId="2">{17}</definedName>
    <definedName name="AllTables" localSheetId="1">{17}</definedName>
    <definedName name="AllTables" localSheetId="12">{17}</definedName>
    <definedName name="AllTables" localSheetId="14">{17}</definedName>
    <definedName name="AllTables" localSheetId="13">{17}</definedName>
    <definedName name="AllTables" localSheetId="15">{17}</definedName>
    <definedName name="AllTables">{17}</definedName>
    <definedName name="Alltables2" localSheetId="0">{2}</definedName>
    <definedName name="Alltables2" localSheetId="2">{2}</definedName>
    <definedName name="Alltables2" localSheetId="1">{2}</definedName>
    <definedName name="Alltables2" localSheetId="12">{2}</definedName>
    <definedName name="Alltables2" localSheetId="14">{2}</definedName>
    <definedName name="Alltables2" localSheetId="13">{2}</definedName>
    <definedName name="Alltables2" localSheetId="15">{2}</definedName>
    <definedName name="Alltables2">{2}</definedName>
    <definedName name="AllTables3" localSheetId="0">{17}</definedName>
    <definedName name="AllTables3" localSheetId="2">{17}</definedName>
    <definedName name="AllTables3" localSheetId="1">{17}</definedName>
    <definedName name="AllTables3" localSheetId="12">{17}</definedName>
    <definedName name="AllTables3" localSheetId="14">{17}</definedName>
    <definedName name="AllTables3" localSheetId="13">{17}</definedName>
    <definedName name="AllTables3" localSheetId="15">{17}</definedName>
    <definedName name="AllTables3">{17}</definedName>
    <definedName name="Amt">'[1]Check List'!$C$27</definedName>
    <definedName name="Analyst">#REF!</definedName>
    <definedName name="Andover">#REF!</definedName>
    <definedName name="AngelCapital" localSheetId="15">#REF!</definedName>
    <definedName name="AngelCapital">#REF!</definedName>
    <definedName name="Annual_Interest_Rate" localSheetId="15">#REF!</definedName>
    <definedName name="Annual_Interest_Rate">#REF!</definedName>
    <definedName name="appctexp">#REF!</definedName>
    <definedName name="aqderv">#REF!</definedName>
    <definedName name="Area22">#REF!</definedName>
    <definedName name="AreaNRA">#REF!</definedName>
    <definedName name="arpctrev">#REF!</definedName>
    <definedName name="asd">#REF!</definedName>
    <definedName name="asdas">#REF!</definedName>
    <definedName name="asdf11">#REF!</definedName>
    <definedName name="asdf12">#REF!</definedName>
    <definedName name="asdsa">#REF!</definedName>
    <definedName name="asfdmasmds">#REF!</definedName>
    <definedName name="Asset_Size">#REF!</definedName>
    <definedName name="assumptions_print">#REF!</definedName>
    <definedName name="ASSUMTIONS">#REF!</definedName>
    <definedName name="AusBudRate99">#REF!</definedName>
    <definedName name="Avg_Sales_per_Day_Midweek">#REF!</definedName>
    <definedName name="Avg_Sales_per_Day_Weekends">#REF!</definedName>
    <definedName name="b_1">#REF!</definedName>
    <definedName name="b_2">#REF!</definedName>
    <definedName name="b_3">#REF!</definedName>
    <definedName name="b_4">#REF!</definedName>
    <definedName name="BAL">#REF!</definedName>
    <definedName name="Balance" localSheetId="0" hidden="1">{#N/A,#N/A,FALSE,"Balance Sheets";#N/A,#N/A,FALSE,"96 Conservative";#N/A,#N/A,FALSE,"96 Possible"}</definedName>
    <definedName name="Balance" localSheetId="2" hidden="1">{#N/A,#N/A,FALSE,"Balance Sheets";#N/A,#N/A,FALSE,"96 Conservative";#N/A,#N/A,FALSE,"96 Possible"}</definedName>
    <definedName name="Balance" localSheetId="1" hidden="1">{#N/A,#N/A,FALSE,"Balance Sheets";#N/A,#N/A,FALSE,"96 Conservative";#N/A,#N/A,FALSE,"96 Possible"}</definedName>
    <definedName name="Balance" localSheetId="12" hidden="1">{#N/A,#N/A,FALSE,"Balance Sheets";#N/A,#N/A,FALSE,"96 Conservative";#N/A,#N/A,FALSE,"96 Possible"}</definedName>
    <definedName name="Balance" localSheetId="14" hidden="1">{#N/A,#N/A,FALSE,"Balance Sheets";#N/A,#N/A,FALSE,"96 Conservative";#N/A,#N/A,FALSE,"96 Possible"}</definedName>
    <definedName name="Balance" localSheetId="13" hidden="1">{#N/A,#N/A,FALSE,"Balance Sheets";#N/A,#N/A,FALSE,"96 Conservative";#N/A,#N/A,FALSE,"96 Possible"}</definedName>
    <definedName name="Balance" localSheetId="15" hidden="1">{#N/A,#N/A,FALSE,"Balance Sheets";#N/A,#N/A,FALSE,"96 Conservative";#N/A,#N/A,FALSE,"96 Possible"}</definedName>
    <definedName name="Balance" hidden="1">{#N/A,#N/A,FALSE,"Balance Sheets";#N/A,#N/A,FALSE,"96 Conservative";#N/A,#N/A,FALSE,"96 Possible"}</definedName>
    <definedName name="Balance_Sheet" localSheetId="0">#REF!-[0]!InterestExpense</definedName>
    <definedName name="Balance_Sheet" localSheetId="2">#REF!-[0]!InterestExpense</definedName>
    <definedName name="Balance_Sheet" localSheetId="1">#REF!-[0]!InterestExpense</definedName>
    <definedName name="Balance_Sheet" localSheetId="12">#REF!-[0]!InterestExpense</definedName>
    <definedName name="Balance_Sheet" localSheetId="14">#REF!-[0]!InterestExpense</definedName>
    <definedName name="Balance_Sheet" localSheetId="13">#REF!-[0]!InterestExpense</definedName>
    <definedName name="Balance_Sheet" localSheetId="15">#REF!-[0]!InterestExpense</definedName>
    <definedName name="Balance_Sheet">#REF!-[0]!InterestExpense</definedName>
    <definedName name="balancesheet">#REF!</definedName>
    <definedName name="BankAccounts">#REF!</definedName>
    <definedName name="base" localSheetId="0">{"Project Oasis"}</definedName>
    <definedName name="base" localSheetId="2">{"Project Oasis"}</definedName>
    <definedName name="base" localSheetId="1">{"Project Oasis"}</definedName>
    <definedName name="base" localSheetId="12">{"Project Oasis"}</definedName>
    <definedName name="base" localSheetId="14">{"Project Oasis"}</definedName>
    <definedName name="base" localSheetId="13">{"Project Oasis"}</definedName>
    <definedName name="base" localSheetId="15">{"Project Oasis"}</definedName>
    <definedName name="base">{"Project Oasis"}</definedName>
    <definedName name="BaseDisp">#REF!</definedName>
    <definedName name="BASSETS">#REF!</definedName>
    <definedName name="BCapital" localSheetId="15">#REF!</definedName>
    <definedName name="BCapital">#REF!</definedName>
    <definedName name="BE">#REF!</definedName>
    <definedName name="Beg.Bal">IF(#REF!&lt;&gt;"",#REF!,"")</definedName>
    <definedName name="Beg_Bal" localSheetId="15">#REF!</definedName>
    <definedName name="Beg_Bal">#REF!</definedName>
    <definedName name="BOARD1">#REF!</definedName>
    <definedName name="BOARD2">#REF!</definedName>
    <definedName name="BOARD3">#REF!</definedName>
    <definedName name="bonus_1">#REF!</definedName>
    <definedName name="BS">#REF!</definedName>
    <definedName name="BS_1">#REF!</definedName>
    <definedName name="BS_2">#REF!</definedName>
    <definedName name="BucketMetric">#REF!</definedName>
    <definedName name="BucketMetric2">#REF!</definedName>
    <definedName name="BucketMetric3">#REF!</definedName>
    <definedName name="BucketOrig">#REF!</definedName>
    <definedName name="Buildings" localSheetId="15">#REF!</definedName>
    <definedName name="Buildings">#REF!</definedName>
    <definedName name="Buyer_Downpayment">#REF!</definedName>
    <definedName name="c.">#REF!</definedName>
    <definedName name="CA">#REF!</definedName>
    <definedName name="CAPEX">#REF!</definedName>
    <definedName name="Capex_Inflation">#REF!</definedName>
    <definedName name="CAPITAL">#REF!</definedName>
    <definedName name="CapitalEmployed">#REF!</definedName>
    <definedName name="CAPTABLE">#REF!</definedName>
    <definedName name="CArea">#REF!</definedName>
    <definedName name="Case">#REF!</definedName>
    <definedName name="CaseSelect">#REF!</definedName>
    <definedName name="Cash">#REF!</definedName>
    <definedName name="cashflow">#REF!</definedName>
    <definedName name="cashflows_1">#REF!</definedName>
    <definedName name="cashflows_2">#REF!</definedName>
    <definedName name="cashflows_3">#REF!</definedName>
    <definedName name="cashflows_4">#REF!</definedName>
    <definedName name="cashflows_print">#REF!</definedName>
    <definedName name="cashflows1_print">#REF!</definedName>
    <definedName name="cashflows2_print">#REF!</definedName>
    <definedName name="Category1" localSheetId="15">#REF!</definedName>
    <definedName name="Category1">#REF!</definedName>
    <definedName name="Category1_Annual_Sales" localSheetId="15">#REF!</definedName>
    <definedName name="Category1_Annual_Sales">#REF!</definedName>
    <definedName name="Category1_SalesPrice" localSheetId="15">#REF!</definedName>
    <definedName name="Category1_SalesPrice">#REF!</definedName>
    <definedName name="Category2" localSheetId="15">#REF!</definedName>
    <definedName name="Category2">#REF!</definedName>
    <definedName name="Category2_Annual_Sales" localSheetId="15">#REF!</definedName>
    <definedName name="Category2_Annual_Sales">#REF!</definedName>
    <definedName name="Category2_SalesPrice" localSheetId="15">#REF!</definedName>
    <definedName name="Category2_SalesPrice">#REF!</definedName>
    <definedName name="Category3" localSheetId="15">#REF!</definedName>
    <definedName name="Category3">#REF!</definedName>
    <definedName name="Category3_Annual_Sales" localSheetId="15">#REF!</definedName>
    <definedName name="Category3_Annual_Sales">#REF!</definedName>
    <definedName name="Category3_SalesPrice" localSheetId="15">#REF!</definedName>
    <definedName name="Category3_SalesPrice">#REF!</definedName>
    <definedName name="Category4" localSheetId="15">#REF!</definedName>
    <definedName name="Category4">#REF!</definedName>
    <definedName name="Category4_Annual_Sales" localSheetId="15">#REF!</definedName>
    <definedName name="Category4_Annual_Sales">#REF!</definedName>
    <definedName name="Category4_SalesPrice" localSheetId="15">#REF!</definedName>
    <definedName name="Category4_SalesPrice">#REF!</definedName>
    <definedName name="Category5" localSheetId="15">#REF!</definedName>
    <definedName name="Category5">#REF!</definedName>
    <definedName name="Category5_Annual_Sales" localSheetId="15">#REF!</definedName>
    <definedName name="Category5_Annual_Sales">#REF!</definedName>
    <definedName name="Category5_SalesPrice" localSheetId="15">#REF!</definedName>
    <definedName name="Category5_SalesPrice">#REF!</definedName>
    <definedName name="Category6" localSheetId="15">#REF!</definedName>
    <definedName name="Category6">#REF!</definedName>
    <definedName name="Category6_Annual_Sales" localSheetId="15">#REF!</definedName>
    <definedName name="Category6_Annual_Sales">#REF!</definedName>
    <definedName name="Category6_SalesPrice" localSheetId="15">#REF!</definedName>
    <definedName name="Category6_SalesPrice">#REF!</definedName>
    <definedName name="ccc" localSheetId="0" hidden="1">{#N/A,#N/A,TRUE,"Financials";#N/A,#N/A,TRUE,"Operating Statistics";#N/A,#N/A,TRUE,"Capex &amp; Depreciation";#N/A,#N/A,TRUE,"Debt"}</definedName>
    <definedName name="ccc" localSheetId="2" hidden="1">{#N/A,#N/A,TRUE,"Financials";#N/A,#N/A,TRUE,"Operating Statistics";#N/A,#N/A,TRUE,"Capex &amp; Depreciation";#N/A,#N/A,TRUE,"Debt"}</definedName>
    <definedName name="ccc" localSheetId="1" hidden="1">{#N/A,#N/A,TRUE,"Financials";#N/A,#N/A,TRUE,"Operating Statistics";#N/A,#N/A,TRUE,"Capex &amp; Depreciation";#N/A,#N/A,TRUE,"Debt"}</definedName>
    <definedName name="ccc" localSheetId="12" hidden="1">{#N/A,#N/A,TRUE,"Financials";#N/A,#N/A,TRUE,"Operating Statistics";#N/A,#N/A,TRUE,"Capex &amp; Depreciation";#N/A,#N/A,TRUE,"Debt"}</definedName>
    <definedName name="ccc" localSheetId="14" hidden="1">{#N/A,#N/A,TRUE,"Financials";#N/A,#N/A,TRUE,"Operating Statistics";#N/A,#N/A,TRUE,"Capex &amp; Depreciation";#N/A,#N/A,TRUE,"Debt"}</definedName>
    <definedName name="ccc" localSheetId="13" hidden="1">{#N/A,#N/A,TRUE,"Financials";#N/A,#N/A,TRUE,"Operating Statistics";#N/A,#N/A,TRUE,"Capex &amp; Depreciation";#N/A,#N/A,TRUE,"Debt"}</definedName>
    <definedName name="ccc" localSheetId="15" hidden="1">{#N/A,#N/A,TRUE,"Financials";#N/A,#N/A,TRUE,"Operating Statistics";#N/A,#N/A,TRUE,"Capex &amp; Depreciation";#N/A,#N/A,TRUE,"Debt"}</definedName>
    <definedName name="ccc" hidden="1">{#N/A,#N/A,TRUE,"Financials";#N/A,#N/A,TRUE,"Operating Statistics";#N/A,#N/A,TRUE,"Capex &amp; Depreciation";#N/A,#N/A,TRUE,"Debt"}</definedName>
    <definedName name="CCDebt" localSheetId="15">#REF!</definedName>
    <definedName name="CCDebt">#REF!</definedName>
    <definedName name="CCost">#REF!</definedName>
    <definedName name="CF">#REF!</definedName>
    <definedName name="CF_I">#REF!</definedName>
    <definedName name="CFGREEN">#REF!</definedName>
    <definedName name="CFGREEN1">#REF!</definedName>
    <definedName name="Check_Code">"Check Code"</definedName>
    <definedName name="chhhh" localSheetId="0">{17}</definedName>
    <definedName name="chhhh" localSheetId="2">{17}</definedName>
    <definedName name="chhhh" localSheetId="1">{17}</definedName>
    <definedName name="chhhh" localSheetId="12">{17}</definedName>
    <definedName name="chhhh" localSheetId="14">{17}</definedName>
    <definedName name="chhhh" localSheetId="13">{17}</definedName>
    <definedName name="chhhh" localSheetId="15">{17}</definedName>
    <definedName name="chhhh">{17}</definedName>
    <definedName name="CIQWBGuid" hidden="1">"2cd8126d-26c3-430c-b7fa-a069e3a1fc62"</definedName>
    <definedName name="Clients">#REF!</definedName>
    <definedName name="COGS">#REF!</definedName>
    <definedName name="COGS_Annual_Total" localSheetId="15">#REF!</definedName>
    <definedName name="COGS_Annual_Total">#REF!</definedName>
    <definedName name="CommLoan" localSheetId="15">#REF!</definedName>
    <definedName name="CommLoan">#REF!</definedName>
    <definedName name="CommMortgage" localSheetId="15">#REF!</definedName>
    <definedName name="CommMortgage">#REF!</definedName>
    <definedName name="ConL">[2]!T_Con[Constitution]</definedName>
    <definedName name="CONTENT">#REF!</definedName>
    <definedName name="ContingencyCash" localSheetId="15">#REF!</definedName>
    <definedName name="ContingencyCash">#REF!</definedName>
    <definedName name="control">#REF!</definedName>
    <definedName name="CORP_TAX">#REF!</definedName>
    <definedName name="corporateexpenses">#REF!</definedName>
    <definedName name="Country" localSheetId="0" hidden="1">{#N/A,#N/A,FALSE,"Balance Sheets";#N/A,#N/A,FALSE,"96 Conservative";#N/A,#N/A,FALSE,"96 Possible"}</definedName>
    <definedName name="Country" localSheetId="2" hidden="1">{#N/A,#N/A,FALSE,"Balance Sheets";#N/A,#N/A,FALSE,"96 Conservative";#N/A,#N/A,FALSE,"96 Possible"}</definedName>
    <definedName name="Country" localSheetId="1" hidden="1">{#N/A,#N/A,FALSE,"Balance Sheets";#N/A,#N/A,FALSE,"96 Conservative";#N/A,#N/A,FALSE,"96 Possible"}</definedName>
    <definedName name="Country" localSheetId="12" hidden="1">{#N/A,#N/A,FALSE,"Balance Sheets";#N/A,#N/A,FALSE,"96 Conservative";#N/A,#N/A,FALSE,"96 Possible"}</definedName>
    <definedName name="Country" localSheetId="14" hidden="1">{#N/A,#N/A,FALSE,"Balance Sheets";#N/A,#N/A,FALSE,"96 Conservative";#N/A,#N/A,FALSE,"96 Possible"}</definedName>
    <definedName name="Country" localSheetId="13" hidden="1">{#N/A,#N/A,FALSE,"Balance Sheets";#N/A,#N/A,FALSE,"96 Conservative";#N/A,#N/A,FALSE,"96 Possible"}</definedName>
    <definedName name="Country" localSheetId="15" hidden="1">{#N/A,#N/A,FALSE,"Balance Sheets";#N/A,#N/A,FALSE,"96 Conservative";#N/A,#N/A,FALSE,"96 Possible"}</definedName>
    <definedName name="Country" hidden="1">{#N/A,#N/A,FALSE,"Balance Sheets";#N/A,#N/A,FALSE,"96 Conservative";#N/A,#N/A,FALSE,"96 Possible"}</definedName>
    <definedName name="COVER">#REF!</definedName>
    <definedName name="CPKBglr">#REF!</definedName>
    <definedName name="CPNL">#REF!</definedName>
    <definedName name="_xlnm.Criteria">#REF!</definedName>
    <definedName name="Criteria_MI">#REF!</definedName>
    <definedName name="CS">#REF!</definedName>
    <definedName name="Cum.Interest">IF(#REF!&lt;&gt;"",#REF!+#REF!,"")</definedName>
    <definedName name="Cur">#REF!</definedName>
    <definedName name="Currency">#REF!</definedName>
    <definedName name="Currency_Symbol">#REF!</definedName>
    <definedName name="Currency_Symbol_Inputs">#REF!</definedName>
    <definedName name="CurrentLiab">#REF!</definedName>
    <definedName name="CurrentPortion">#REF!</definedName>
    <definedName name="cy">#REF!</definedName>
    <definedName name="d" hidden="1">#REF!</definedName>
    <definedName name="D1_A">#REF!</definedName>
    <definedName name="D1_I">#REF!</definedName>
    <definedName name="D1_L">#REF!</definedName>
    <definedName name="D1_T">#REF!</definedName>
    <definedName name="D2_A">#REF!</definedName>
    <definedName name="D2_I">#REF!</definedName>
    <definedName name="D2_L">#REF!</definedName>
    <definedName name="D2_T">#REF!</definedName>
    <definedName name="D3_A">#REF!</definedName>
    <definedName name="D3_I">#REF!</definedName>
    <definedName name="D3_L">#REF!</definedName>
    <definedName name="D3_T">#REF!</definedName>
    <definedName name="DAD">#REF!</definedName>
    <definedName name="DASHBOARD">#REF!</definedName>
    <definedName name="data">#REF!</definedName>
    <definedName name="Data.Dump" localSheetId="8" hidden="1">OFFSET([0]!Data.Top.Left,1,0)</definedName>
    <definedName name="Data.Dump" localSheetId="0" hidden="1">OFFSET([0]!Data.Top.Left,1,0)</definedName>
    <definedName name="Data.Dump" localSheetId="2" hidden="1">OFFSET([0]!Data.Top.Left,1,0)</definedName>
    <definedName name="Data.Dump" localSheetId="1" hidden="1">OFFSET([0]!Data.Top.Left,1,0)</definedName>
    <definedName name="Data.Dump" localSheetId="12" hidden="1">OFFSET([0]!Data.Top.Left,1,0)</definedName>
    <definedName name="Data.Dump" localSheetId="14" hidden="1">OFFSET([0]!Data.Top.Left,1,0)</definedName>
    <definedName name="Data.Dump" localSheetId="13" hidden="1">OFFSET([0]!Data.Top.Left,1,0)</definedName>
    <definedName name="Data.Dump" localSheetId="15" hidden="1">OFFSET([0]!Data.Top.Left,1,0)</definedName>
    <definedName name="Data.Dump" hidden="1">OFFSET([0]!Data.Top.Left,1,0)</definedName>
    <definedName name="data_1">#REF!</definedName>
    <definedName name="data_10">#REF!</definedName>
    <definedName name="data_11">#REF!</definedName>
    <definedName name="data_12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2">#REF!</definedName>
    <definedName name="data_3">#REF!</definedName>
    <definedName name="data_4">#REF!</definedName>
    <definedName name="data_5">#REF!</definedName>
    <definedName name="data_6">#REF!</definedName>
    <definedName name="_xlnm.Database">#REF!</definedName>
    <definedName name="Database.File" localSheetId="15" hidden="1">#REF!</definedName>
    <definedName name="Database.File" hidden="1">#REF!</definedName>
    <definedName name="Database_MI">#REF!</definedName>
    <definedName name="DataCaprate" localSheetId="14">#REF!</definedName>
    <definedName name="DataCaprate" localSheetId="13">#REF!</definedName>
    <definedName name="DataCaprate">#REF!</definedName>
    <definedName name="DataDispo" localSheetId="14">#REF!</definedName>
    <definedName name="DataDispo" localSheetId="13">#REF!</definedName>
    <definedName name="DataDispo">#REF!</definedName>
    <definedName name="DataStabMnth" localSheetId="14">#REF!</definedName>
    <definedName name="DataStabMnth" localSheetId="13">#REF!</definedName>
    <definedName name="DataStabMnth">#REF!</definedName>
    <definedName name="DataTableCap" localSheetId="14">#REF!</definedName>
    <definedName name="DataTableCap" localSheetId="13">#REF!</definedName>
    <definedName name="DataTableCap">#REF!</definedName>
    <definedName name="DataTableCap2" localSheetId="14">#REF!</definedName>
    <definedName name="DataTableCap2" localSheetId="13">#REF!</definedName>
    <definedName name="DataTableCap2">#REF!</definedName>
    <definedName name="DataTableCaprate" localSheetId="14">#REF!</definedName>
    <definedName name="DataTableCaprate" localSheetId="13">#REF!</definedName>
    <definedName name="DataTableCaprate">#REF!</definedName>
    <definedName name="DataTableDispo" localSheetId="14">#REF!</definedName>
    <definedName name="DataTableDispo" localSheetId="13">#REF!</definedName>
    <definedName name="DataTableDispo">#REF!</definedName>
    <definedName name="DataTableStab" localSheetId="14">#REF!</definedName>
    <definedName name="DataTableStab" localSheetId="13">#REF!</definedName>
    <definedName name="DataTableStab">#REF!</definedName>
    <definedName name="DataTableStabMnth" localSheetId="14">#REF!</definedName>
    <definedName name="DataTableStabMnth" localSheetId="13">#REF!</definedName>
    <definedName name="DataTableStabMnth">#REF!</definedName>
    <definedName name="DATE1" localSheetId="14">#REF!</definedName>
    <definedName name="DATE1" localSheetId="13">#REF!</definedName>
    <definedName name="DATE1">#REF!</definedName>
    <definedName name="DATE2" localSheetId="14">#REF!</definedName>
    <definedName name="DATE2" localSheetId="13">#REF!</definedName>
    <definedName name="DATE2">#REF!</definedName>
    <definedName name="DATE3" localSheetId="14">#REF!</definedName>
    <definedName name="DATE3" localSheetId="13">#REF!</definedName>
    <definedName name="DATE3">#REF!</definedName>
    <definedName name="Days" localSheetId="13">#REF!</definedName>
    <definedName name="Days">#REF!</definedName>
    <definedName name="DCF" localSheetId="13">#REF!</definedName>
    <definedName name="DCF">#REF!</definedName>
    <definedName name="DD_Top_Rev_First_Disp_Per" localSheetId="14">#REF!</definedName>
    <definedName name="DD_Top_Rev_First_Disp_Per" localSheetId="13">#REF!</definedName>
    <definedName name="DD_Top_Rev_First_Disp_Per">#REF!</definedName>
    <definedName name="DD_TS_Denom">#REF!</definedName>
    <definedName name="DD_TS_Fin_Yr_End_Mth">#REF!</definedName>
    <definedName name="debt_1">#REF!</definedName>
    <definedName name="debt_2">#REF!</definedName>
    <definedName name="debt_3">#REF!</definedName>
    <definedName name="debt_4">#REF!</definedName>
    <definedName name="debt_5">#REF!</definedName>
    <definedName name="debt_6">#REF!</definedName>
    <definedName name="debt_costs">#REF!</definedName>
    <definedName name="Deferred_Maintenance">#REF!</definedName>
    <definedName name="Delta_Capex">#REF!</definedName>
    <definedName name="Delta_Material_Costs">#REF!</definedName>
    <definedName name="Delta_overheads">#REF!</definedName>
    <definedName name="Delta_revenue">#REF!</definedName>
    <definedName name="DenL">[2]!T_Den[Denomination]</definedName>
    <definedName name="Denomination_Selected">#REF!</definedName>
    <definedName name="DEPRECIATION">#REF!</definedName>
    <definedName name="diff1">#REF!</definedName>
    <definedName name="Disp_Code">#REF!</definedName>
    <definedName name="DisplaySelectedSheetsMacroButton">#REF!</definedName>
    <definedName name="DIVASSET">#REF!</definedName>
    <definedName name="Divisions">#REF!</definedName>
    <definedName name="DIVLIAB">#REF!</definedName>
    <definedName name="DIVPL">#REF!</definedName>
    <definedName name="DNE">#REF!</definedName>
    <definedName name="Do">[2]Home!$C$29</definedName>
    <definedName name="Dontinclude">#REF!</definedName>
    <definedName name="Draft">#REF!</definedName>
    <definedName name="dsskklkd" localSheetId="0">{"Project Oasis"}</definedName>
    <definedName name="dsskklkd" localSheetId="2">{"Project Oasis"}</definedName>
    <definedName name="dsskklkd" localSheetId="1">{"Project Oasis"}</definedName>
    <definedName name="dsskklkd" localSheetId="12">{"Project Oasis"}</definedName>
    <definedName name="dsskklkd" localSheetId="14">{"Project Oasis"}</definedName>
    <definedName name="dsskklkd" localSheetId="13">{"Project Oasis"}</definedName>
    <definedName name="dsskklkd" localSheetId="15">{"Project Oasis"}</definedName>
    <definedName name="dsskklkd">{"Project Oasis"}</definedName>
    <definedName name="DTKick_R">#REF!</definedName>
    <definedName name="DTLoss_R">#REF!</definedName>
    <definedName name="DUPONT">#REF!</definedName>
    <definedName name="efe">#REF!</definedName>
    <definedName name="Ending.Balance">IF(#REF!&lt;&gt;"",#REF!-#REF!,"")</definedName>
    <definedName name="Equipment" localSheetId="15">#REF!</definedName>
    <definedName name="Equipment">#REF!</definedName>
    <definedName name="Equity_Size">#REF!</definedName>
    <definedName name="EX_RATE">#REF!</definedName>
    <definedName name="Excel_BuiltIn_Print_Area_0">#REF!</definedName>
    <definedName name="Excel_BuiltIn_Print_Area_1">#REF!</definedName>
    <definedName name="excise">#REF!</definedName>
    <definedName name="Exit_Price">#REF!</definedName>
    <definedName name="EXP">#REF!</definedName>
    <definedName name="EXPENSES">#REF!</definedName>
    <definedName name="Extra_Pay" localSheetId="15">#REF!</definedName>
    <definedName name="Extra_Pay">#REF!</definedName>
    <definedName name="f">#REF!</definedName>
    <definedName name="FEDTAX">#REF!</definedName>
    <definedName name="Fee_Basic">#REF!</definedName>
    <definedName name="Fee_Incentive">#REF!</definedName>
    <definedName name="FEXPENSES">#REF!</definedName>
    <definedName name="FFE">#REF!</definedName>
    <definedName name="File.Type" localSheetId="15" hidden="1">#REF!</definedName>
    <definedName name="File.Type" hidden="1">#REF!</definedName>
    <definedName name="fill" hidden="1">#REF!</definedName>
    <definedName name="First_Loss_Macro">#REF!</definedName>
    <definedName name="First_payment_due">#REF!</definedName>
    <definedName name="FirstYear">#REF!</definedName>
    <definedName name="fixedassets">#REF!</definedName>
    <definedName name="Forecast">#REF!</definedName>
    <definedName name="Foreclosure_Costs">#REF!</definedName>
    <definedName name="Franchise">#REF!</definedName>
    <definedName name="Fsor_HQ">#REF!</definedName>
    <definedName name="FTM">#REF!</definedName>
    <definedName name="Fund_Summary">#REF!</definedName>
    <definedName name="Furniture" localSheetId="15">#REF!</definedName>
    <definedName name="Furniture">#REF!</definedName>
    <definedName name="futuregrow">#REF!</definedName>
    <definedName name="FYEnd">#REF!</definedName>
    <definedName name="FYL">[2]!T_FY[Financial Year]</definedName>
    <definedName name="General_Inputs_Target">#REF!</definedName>
    <definedName name="GRANT_1_A">#REF!</definedName>
    <definedName name="GRANT_1_L">#REF!</definedName>
    <definedName name="GREENBS">#REF!</definedName>
    <definedName name="Group_Marketing">#REF!</definedName>
    <definedName name="Growth">#REF!</definedName>
    <definedName name="Growth_in_average_expense_per_employee">#REF!</definedName>
    <definedName name="Growth_in_employee_base">#REF!</definedName>
    <definedName name="Guangzhou" localSheetId="0">{"Client Name or Project Name"}</definedName>
    <definedName name="Guangzhou" localSheetId="2">{"Client Name or Project Name"}</definedName>
    <definedName name="Guangzhou" localSheetId="1">{"Client Name or Project Name"}</definedName>
    <definedName name="Guangzhou" localSheetId="12">{"Client Name or Project Name"}</definedName>
    <definedName name="Guangzhou" localSheetId="14">{"Client Name or Project Name"}</definedName>
    <definedName name="Guangzhou" localSheetId="13">{"Client Name or Project Name"}</definedName>
    <definedName name="Guangzhou" localSheetId="15">{"Client Name or Project Name"}</definedName>
    <definedName name="Guangzhou">{"Client Name or Project Name"}</definedName>
    <definedName name="h" localSheetId="8" hidden="1">OFFSET([0]!Data.Top.Left,1,0)</definedName>
    <definedName name="h" localSheetId="0" hidden="1">OFFSET([0]!Data.Top.Left,1,0)</definedName>
    <definedName name="h" localSheetId="2" hidden="1">OFFSET([0]!Data.Top.Left,1,0)</definedName>
    <definedName name="h" localSheetId="1" hidden="1">OFFSET([0]!Data.Top.Left,1,0)</definedName>
    <definedName name="h" localSheetId="12" hidden="1">OFFSET([0]!Data.Top.Left,1,0)</definedName>
    <definedName name="h" localSheetId="14" hidden="1">OFFSET([0]!Data.Top.Left,1,0)</definedName>
    <definedName name="h" localSheetId="13" hidden="1">OFFSET([0]!Data.Top.Left,1,0)</definedName>
    <definedName name="h" localSheetId="15" hidden="1">OFFSET([0]!Data.Top.Left,1,0)</definedName>
    <definedName name="h" hidden="1">OFFSET([0]!Data.Top.Left,1,0)</definedName>
    <definedName name="H_R_Cafe" localSheetId="13">#REF!</definedName>
    <definedName name="H_R_Cafe">#REF!</definedName>
    <definedName name="HArea" localSheetId="13">#REF!</definedName>
    <definedName name="HArea">#REF!</definedName>
    <definedName name="HCost" localSheetId="13">#REF!</definedName>
    <definedName name="HCost">#REF!</definedName>
    <definedName name="hdfdfh" localSheetId="14">#REF!</definedName>
    <definedName name="hdfdfh" localSheetId="13">#REF!</definedName>
    <definedName name="hdfdfh">#REF!</definedName>
    <definedName name="head" localSheetId="13">#REF!</definedName>
    <definedName name="head">#REF!</definedName>
    <definedName name="Heads">#REF!</definedName>
    <definedName name="hhh">#REF!</definedName>
    <definedName name="HIRE_1">#REF!</definedName>
    <definedName name="HIRE_2">#REF!</definedName>
    <definedName name="HIRE_3">#REF!</definedName>
    <definedName name="HIRE_4">#REF!</definedName>
    <definedName name="HIRE_MAIN">#REF!</definedName>
    <definedName name="Holidays">#REF!</definedName>
    <definedName name="HOTEL_ASSETS">#REF!</definedName>
    <definedName name="HOTEL_ERN">#REF!</definedName>
    <definedName name="HOTEL_LIAB">#REF!</definedName>
    <definedName name="HOTEL1">#REF!</definedName>
    <definedName name="HPNL">#REF!</definedName>
    <definedName name="HTML_CodePage" hidden="1">1252</definedName>
    <definedName name="HTML_Control" localSheetId="0" hidden="1">{"'Leverage'!$B$2:$M$418"}</definedName>
    <definedName name="HTML_Control" localSheetId="2" hidden="1">{"'Leverage'!$B$2:$M$418"}</definedName>
    <definedName name="HTML_Control" localSheetId="1" hidden="1">{"'Leverage'!$B$2:$M$418"}</definedName>
    <definedName name="HTML_Control" localSheetId="12" hidden="1">{"'Leverage'!$B$2:$M$418"}</definedName>
    <definedName name="HTML_Control" localSheetId="14" hidden="1">{"'Leverage'!$B$2:$M$418"}</definedName>
    <definedName name="HTML_Control" localSheetId="13" hidden="1">{"'Leverage'!$B$2:$M$418"}</definedName>
    <definedName name="HTML_Control" localSheetId="15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Inc_BE_Cap_R">#REF!</definedName>
    <definedName name="Inc_BE_Occ_R">#REF!</definedName>
    <definedName name="inc_Cwip_move">#REF!</definedName>
    <definedName name="incometax">#REF!</definedName>
    <definedName name="Inflation___WPI">#REF!</definedName>
    <definedName name="INFO">#REF!</definedName>
    <definedName name="Info_Entered" localSheetId="15">#REF!</definedName>
    <definedName name="Info_Entered">#REF!</definedName>
    <definedName name="Int" localSheetId="15">#REF!</definedName>
    <definedName name="Int">#REF!</definedName>
    <definedName name="Interest">IF(#REF!&lt;&gt;"",#REF!*#REF!,"")</definedName>
    <definedName name="InterestExpense">#REF!</definedName>
    <definedName name="InterestIncome">#REF!</definedName>
    <definedName name="interestloans">#REF!</definedName>
    <definedName name="InterestRate_ShortTerm" localSheetId="15">#REF!</definedName>
    <definedName name="InterestRate_ShortTerm">#REF!</definedName>
    <definedName name="Inventory" localSheetId="15">#REF!</definedName>
    <definedName name="Inventory">#REF!</definedName>
    <definedName name="Investment" localSheetId="15">#REF!</definedName>
    <definedName name="Investment">#REF!</definedName>
    <definedName name="Investor_Summary">#REF!</definedName>
    <definedName name="Invoic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r_switch">#REF!</definedName>
    <definedName name="IS">#REF!</definedName>
    <definedName name="JG">#REF!</definedName>
    <definedName name="Job_ID">#REF!</definedName>
    <definedName name="jslxkkd" localSheetId="0" hidden="1">{#N/A,#N/A,FALSE,"One Pager";#N/A,#N/A,FALSE,"Technical"}</definedName>
    <definedName name="jslxkkd" localSheetId="2" hidden="1">{#N/A,#N/A,FALSE,"One Pager";#N/A,#N/A,FALSE,"Technical"}</definedName>
    <definedName name="jslxkkd" localSheetId="1" hidden="1">{#N/A,#N/A,FALSE,"One Pager";#N/A,#N/A,FALSE,"Technical"}</definedName>
    <definedName name="jslxkkd" localSheetId="12" hidden="1">{#N/A,#N/A,FALSE,"One Pager";#N/A,#N/A,FALSE,"Technical"}</definedName>
    <definedName name="jslxkkd" localSheetId="14" hidden="1">{#N/A,#N/A,FALSE,"One Pager";#N/A,#N/A,FALSE,"Technical"}</definedName>
    <definedName name="jslxkkd" localSheetId="13" hidden="1">{#N/A,#N/A,FALSE,"One Pager";#N/A,#N/A,FALSE,"Technical"}</definedName>
    <definedName name="jslxkkd" localSheetId="15" hidden="1">{#N/A,#N/A,FALSE,"One Pager";#N/A,#N/A,FALSE,"Technical"}</definedName>
    <definedName name="jslxkkd" hidden="1">{#N/A,#N/A,FALSE,"One Pager";#N/A,#N/A,FALSE,"Technical"}</definedName>
    <definedName name="JSM_Corp">#REF!</definedName>
    <definedName name="Jully">#REF!</definedName>
    <definedName name="Key_Project">#REF!</definedName>
    <definedName name="Kick_R">#REF!</definedName>
    <definedName name="kkririr" localSheetId="0">{17}</definedName>
    <definedName name="kkririr" localSheetId="2">{17}</definedName>
    <definedName name="kkririr" localSheetId="1">{17}</definedName>
    <definedName name="kkririr" localSheetId="12">{17}</definedName>
    <definedName name="kkririr" localSheetId="14">{17}</definedName>
    <definedName name="kkririr" localSheetId="13">{17}</definedName>
    <definedName name="kkririr" localSheetId="15">{17}</definedName>
    <definedName name="kkririr">{17}</definedName>
    <definedName name="kls">#REF!</definedName>
    <definedName name="KPIS">#REF!</definedName>
    <definedName name="KYAYYA">#N/A</definedName>
    <definedName name="lakh">10^5</definedName>
    <definedName name="Land" localSheetId="15">#REF!</definedName>
    <definedName name="Land">#REF!</definedName>
    <definedName name="Land_details">#REF!</definedName>
    <definedName name="Last_Row">#N/A</definedName>
    <definedName name="Lease">#REF!</definedName>
    <definedName name="LeaseImprovements" localSheetId="15">#REF!</definedName>
    <definedName name="LeaseImprovements">#REF!</definedName>
    <definedName name="LIABIL">#REF!</definedName>
    <definedName name="Liquidation_Pref" localSheetId="15">#REF!</definedName>
    <definedName name="Liquidation_Pref">#REF!</definedName>
    <definedName name="ListSheetsMacroButton">#REF!</definedName>
    <definedName name="llkkjkj\" localSheetId="0">{17}</definedName>
    <definedName name="llkkjkj\" localSheetId="2">{17}</definedName>
    <definedName name="llkkjkj\" localSheetId="1">{17}</definedName>
    <definedName name="llkkjkj\" localSheetId="12">{17}</definedName>
    <definedName name="llkkjkj\" localSheetId="14">{17}</definedName>
    <definedName name="llkkjkj\" localSheetId="13">{17}</definedName>
    <definedName name="llkkjkj\" localSheetId="15">{17}</definedName>
    <definedName name="llkkjkj\">{17}</definedName>
    <definedName name="lllllllllllllo" localSheetId="0">{"Project Oasis"}</definedName>
    <definedName name="lllllllllllllo" localSheetId="2">{"Project Oasis"}</definedName>
    <definedName name="lllllllllllllo" localSheetId="1">{"Project Oasis"}</definedName>
    <definedName name="lllllllllllllo" localSheetId="12">{"Project Oasis"}</definedName>
    <definedName name="lllllllllllllo" localSheetId="14">{"Project Oasis"}</definedName>
    <definedName name="lllllllllllllo" localSheetId="13">{"Project Oasis"}</definedName>
    <definedName name="lllllllllllllo" localSheetId="15">{"Project Oasis"}</definedName>
    <definedName name="lllllllllllllo">{"Project Oasis"}</definedName>
    <definedName name="Loan_Amount" localSheetId="15">#REF!</definedName>
    <definedName name="Loan_Amount">#REF!</definedName>
    <definedName name="loan_table1">#REF!</definedName>
    <definedName name="loan_table2">#REF!</definedName>
    <definedName name="loan_table3">#REF!</definedName>
    <definedName name="loan_table4">#REF!</definedName>
    <definedName name="loan_table5">#REF!</definedName>
    <definedName name="loan_table6">#REF!</definedName>
    <definedName name="Loan_Term_Years" localSheetId="15">#REF!</definedName>
    <definedName name="Loan_Term_Years">#REF!</definedName>
    <definedName name="LoanAmount_ShortTerm" localSheetId="15">#REF!</definedName>
    <definedName name="LoanAmount_ShortTerm">#REF!</definedName>
    <definedName name="loanfunds">#REF!</definedName>
    <definedName name="LoanTermYears_ShortTerm" localSheetId="15">#REF!</definedName>
    <definedName name="LoanTermYears_ShortTerm">#REF!</definedName>
    <definedName name="LOC">#N/A</definedName>
    <definedName name="Locationwise">#REF!</definedName>
    <definedName name="LOG">#REF!</definedName>
    <definedName name="LongTermDebt">#REF!</definedName>
    <definedName name="Loss_Year">#REF!</definedName>
    <definedName name="LossType_R">#REF!</definedName>
    <definedName name="Lost_CF">#REF!</definedName>
    <definedName name="LU_Debt_type">#REF!</definedName>
    <definedName name="LU_Exp_Type">#REF!</definedName>
    <definedName name="LU_FS_Sum_First_Disp_Per">#REF!</definedName>
    <definedName name="LU_Launch_Dev_Exp">#REF!</definedName>
    <definedName name="LU_Top_Exp_Dis_Pers">#REF!</definedName>
    <definedName name="LU_Top_Exp_First_Disp_Per">#REF!</definedName>
    <definedName name="LU_Top_Rev_Dis_Pers">#REF!</definedName>
    <definedName name="LU_Top_Rev_First_Disp_Per">#REF!</definedName>
    <definedName name="LU_TS_Denom">#REF!</definedName>
    <definedName name="LU_TS_Denom_Conv">#REF!</definedName>
    <definedName name="LU_TS_Mth_Days">#REF!</definedName>
    <definedName name="LU_TS_Mth_Names">#REF!</definedName>
    <definedName name="m">#REF!</definedName>
    <definedName name="Macro1">#N/A</definedName>
    <definedName name="Macro2">#N/A</definedName>
    <definedName name="mahesh">#REF!</definedName>
    <definedName name="main">#REF!</definedName>
    <definedName name="Margin_Annual_Total" localSheetId="15">#REF!</definedName>
    <definedName name="Margin_Annual_Total">#REF!</definedName>
    <definedName name="Marketing_Bud_Seasonality">#REF!</definedName>
    <definedName name="Mat_BE_Cap_R">#REF!</definedName>
    <definedName name="Mat_BE_Occ_R">#REF!</definedName>
    <definedName name="Material_Costs_Inflation">#REF!</definedName>
    <definedName name="Max_Preference" localSheetId="15">#REF!</definedName>
    <definedName name="Max_Preference">#REF!</definedName>
    <definedName name="mezz_costs">#REF!</definedName>
    <definedName name="Midweek">#REF!</definedName>
    <definedName name="MINASSET">#REF!</definedName>
    <definedName name="MINLIAB">#REF!</definedName>
    <definedName name="MINPL">#REF!</definedName>
    <definedName name="Model_Name">#REF!</definedName>
    <definedName name="month">#REF!</definedName>
    <definedName name="Month_of_Default">#REF!</definedName>
    <definedName name="Month_of_Foreclosure">#REF!</definedName>
    <definedName name="Monthly_Payment_LongTerm" localSheetId="15">#REF!</definedName>
    <definedName name="Monthly_Payment_LongTerm">#REF!</definedName>
    <definedName name="MSREF_Equity">#REF!</definedName>
    <definedName name="MultiBucketOrig_R">#REF!</definedName>
    <definedName name="n" localSheetId="0">#REF!-InterestExpense</definedName>
    <definedName name="n" localSheetId="2">#REF!-InterestExpense</definedName>
    <definedName name="n" localSheetId="1">#REF!-InterestExpense</definedName>
    <definedName name="n" localSheetId="12">#REF!-InterestExpense</definedName>
    <definedName name="n" localSheetId="14">#REF!-InterestExpense</definedName>
    <definedName name="n" localSheetId="13">#REF!-InterestExpense</definedName>
    <definedName name="n" localSheetId="15">#REF!-InterestExpense</definedName>
    <definedName name="n">#REF!-InterestExpense</definedName>
    <definedName name="NetDebt">#N/A</definedName>
    <definedName name="NetIncomeY1" localSheetId="15">#REF!</definedName>
    <definedName name="NetIncomeY1">#REF!</definedName>
    <definedName name="NetIncomeY2" localSheetId="15">#REF!</definedName>
    <definedName name="NetIncomeY2">#REF!</definedName>
    <definedName name="NetIncomeY3" localSheetId="15">#REF!</definedName>
    <definedName name="NetIncomeY3">#REF!</definedName>
    <definedName name="NetInterest" localSheetId="0">#REF!-InterestExpense</definedName>
    <definedName name="NetInterest" localSheetId="2">#REF!-InterestExpense</definedName>
    <definedName name="NetInterest" localSheetId="1">#REF!-InterestExpense</definedName>
    <definedName name="NetInterest" localSheetId="12">#REF!-InterestExpense</definedName>
    <definedName name="NetInterest" localSheetId="14">#REF!-InterestExpense</definedName>
    <definedName name="NetInterest" localSheetId="13">#REF!-InterestExpense</definedName>
    <definedName name="NetInterest" localSheetId="15">#REF!-InterestExpense</definedName>
    <definedName name="NetInterest">#REF!-InterestExpense</definedName>
    <definedName name="NetRevenue">#REF!</definedName>
    <definedName name="NextFile">#REF!</definedName>
    <definedName name="NextFile8">#REF!</definedName>
    <definedName name="Nitin" hidden="1">#REF!</definedName>
    <definedName name="nnnnnnnnnnnnnnnnnnnnnnnnnnnnnnnnnnnnnnnnnnnnnnnnnnnnnnnnnnnnnnnnnnnnnnnnnnnnnnnn">#REF!</definedName>
    <definedName name="nos">#REF!</definedName>
    <definedName name="Note_Cap_Crit">#REF!</definedName>
    <definedName name="Note_inc_Exp">#REF!</definedName>
    <definedName name="Note_to_Auditors">#REF!</definedName>
    <definedName name="Number_of_Payments" localSheetId="8">MATCH(0.01,End_Bal,-1)+1</definedName>
    <definedName name="Number_of_Payments" localSheetId="0">MATCH(0.01,End_Bal,-1)+1</definedName>
    <definedName name="Number_of_Payments" localSheetId="2">MATCH(0.01,End_Bal,-1)+1</definedName>
    <definedName name="Number_of_Payments" localSheetId="1">MATCH(0.01,End_Bal,-1)+1</definedName>
    <definedName name="Number_of_Payments" localSheetId="12">MATCH(0.01,End_Bal,-1)+1</definedName>
    <definedName name="Number_of_Payments" localSheetId="14">MATCH(0.01,End_Bal,-1)+1</definedName>
    <definedName name="Number_of_Payments" localSheetId="13">MATCH(0.01,End_Bal,-1)+1</definedName>
    <definedName name="Number_of_Payments" localSheetId="15">MATCH(0.01,End_Bal,-1)+1</definedName>
    <definedName name="Number_of_Payments">MATCH(0.01,End_Bal,-1)+1</definedName>
    <definedName name="Oberoi" localSheetId="0">{"Project Oasis"}</definedName>
    <definedName name="Oberoi" localSheetId="2">{"Project Oasis"}</definedName>
    <definedName name="Oberoi" localSheetId="1">{"Project Oasis"}</definedName>
    <definedName name="Oberoi" localSheetId="12">{"Project Oasis"}</definedName>
    <definedName name="Oberoi" localSheetId="14">{"Project Oasis"}</definedName>
    <definedName name="Oberoi" localSheetId="13">{"Project Oasis"}</definedName>
    <definedName name="Oberoi" localSheetId="15">{"Project Oasis"}</definedName>
    <definedName name="Oberoi">{"Project Oasis"}</definedName>
    <definedName name="OCC_SWITCH">#REF!</definedName>
    <definedName name="oii343mmdf" localSheetId="0">{"Client Name or Project Name"}</definedName>
    <definedName name="oii343mmdf" localSheetId="2">{"Client Name or Project Name"}</definedName>
    <definedName name="oii343mmdf" localSheetId="1">{"Client Name or Project Name"}</definedName>
    <definedName name="oii343mmdf" localSheetId="12">{"Client Name or Project Name"}</definedName>
    <definedName name="oii343mmdf" localSheetId="14">{"Client Name or Project Name"}</definedName>
    <definedName name="oii343mmdf" localSheetId="13">{"Client Name or Project Name"}</definedName>
    <definedName name="oii343mmdf" localSheetId="15">{"Client Name or Project Name"}</definedName>
    <definedName name="oii343mmdf">{"Client Name or Project Name"}</definedName>
    <definedName name="opcase">#REF!</definedName>
    <definedName name="operating_print">#REF!</definedName>
    <definedName name="OperatingCurrencyName">"Indian Rupee"</definedName>
    <definedName name="OperatingCurrencySymbol">"?"</definedName>
    <definedName name="Orig_R">#REF!</definedName>
    <definedName name="OrigLoan_R">#REF!</definedName>
    <definedName name="ORL2CODE">#REF!</definedName>
    <definedName name="ORL2NO">#REF!</definedName>
    <definedName name="ORL3CODE">#REF!</definedName>
    <definedName name="ORL3NO">#REF!</definedName>
    <definedName name="OSDJVNUSDNV">#N/A</definedName>
    <definedName name="OTHER_ASSETS">#REF!</definedName>
    <definedName name="OTHER_ERN">#REF!</definedName>
    <definedName name="OTHER_LIAB">#REF!</definedName>
    <definedName name="OTHER1">#REF!</definedName>
    <definedName name="OtherBankDebt" localSheetId="15">#REF!</definedName>
    <definedName name="OtherBankDebt">#REF!</definedName>
    <definedName name="OtherFixedAssets" localSheetId="15">#REF!</definedName>
    <definedName name="OtherFixedAssets">#REF!</definedName>
    <definedName name="OtherStartUp" localSheetId="15">#REF!</definedName>
    <definedName name="OtherStartUp">#REF!</definedName>
    <definedName name="OUTPUTS">#REF!</definedName>
    <definedName name="OutsideInvest" localSheetId="15">#REF!</definedName>
    <definedName name="OutsideInvest">#REF!</definedName>
    <definedName name="Overheads_Inflation">#REF!</definedName>
    <definedName name="OwnerEquity" localSheetId="15">#REF!</definedName>
    <definedName name="OwnerEquity">#REF!</definedName>
    <definedName name="Ownership" localSheetId="8" hidden="1">OFFSET([0]!Data.Top.Left,1,0)</definedName>
    <definedName name="Ownership" localSheetId="0" hidden="1">OFFSET([0]!Data.Top.Left,1,0)</definedName>
    <definedName name="Ownership" localSheetId="2" hidden="1">OFFSET([0]!Data.Top.Left,1,0)</definedName>
    <definedName name="Ownership" localSheetId="1" hidden="1">OFFSET([0]!Data.Top.Left,1,0)</definedName>
    <definedName name="Ownership" localSheetId="12" hidden="1">OFFSET([0]!Data.Top.Left,1,0)</definedName>
    <definedName name="Ownership" localSheetId="14" hidden="1">OFFSET([0]!Data.Top.Left,1,0)</definedName>
    <definedName name="Ownership" localSheetId="13" hidden="1">OFFSET([0]!Data.Top.Left,1,0)</definedName>
    <definedName name="Ownership" localSheetId="15" hidden="1">OFFSET([0]!Data.Top.Left,1,0)</definedName>
    <definedName name="Ownership" hidden="1">OFFSET([0]!Data.Top.Left,1,0)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7">#REF!</definedName>
    <definedName name="page_8">#REF!</definedName>
    <definedName name="page_9">#REF!</definedName>
    <definedName name="parse" hidden="1">#REF!</definedName>
    <definedName name="paste_1">#REF!</definedName>
    <definedName name="paste_10">#REF!</definedName>
    <definedName name="paste_11">#REF!</definedName>
    <definedName name="paste_12">#REF!</definedName>
    <definedName name="paste_14">#REF!</definedName>
    <definedName name="paste_15">#REF!</definedName>
    <definedName name="paste_16">#REF!</definedName>
    <definedName name="paste_17">#REF!</definedName>
    <definedName name="paste_18">#REF!</definedName>
    <definedName name="paste_2">#REF!</definedName>
    <definedName name="paste_3">#REF!</definedName>
    <definedName name="paste_4">#REF!</definedName>
    <definedName name="paste_5">#REF!</definedName>
    <definedName name="paste_6">#REF!</definedName>
    <definedName name="Pay_Num" localSheetId="15">#REF!</definedName>
    <definedName name="Pay_Num">#REF!</definedName>
    <definedName name="PAYB">#REF!</definedName>
    <definedName name="payment.Num">IF(OR(#REF!="",#REF!=#REF!),"",#REF!+1)</definedName>
    <definedName name="Payments_per_Year" localSheetId="15">#REF!</definedName>
    <definedName name="Payments_per_Year">#REF!</definedName>
    <definedName name="pcurr">#REF!</definedName>
    <definedName name="pcurr1">#REF!</definedName>
    <definedName name="Percent_Class_A">#REF!</definedName>
    <definedName name="Percent_Class_B">#REF!</definedName>
    <definedName name="PercentageOfSalesSpinner">#REF!</definedName>
    <definedName name="Periodic_rate">#REF!/#REF!</definedName>
    <definedName name="picture10">#REF!</definedName>
    <definedName name="PL">#REF!</definedName>
    <definedName name="Pmt_to_use">#REF!</definedName>
    <definedName name="PNL">#REF!</definedName>
    <definedName name="POTRACK">#REF!</definedName>
    <definedName name="pp_consol">#REF!</definedName>
    <definedName name="PricePerUnit_Annual_Total" localSheetId="15">#REF!</definedName>
    <definedName name="PricePerUnit_Annual_Total">#REF!</definedName>
    <definedName name="Princ" localSheetId="15">#REF!</definedName>
    <definedName name="Princ">#REF!</definedName>
    <definedName name="Principal">IF(#REF!&lt;&gt;"",MIN(#REF!,#REF!-#REF!),"")</definedName>
    <definedName name="prinpaid">#REF!</definedName>
    <definedName name="_xlnm.Print_Area" localSheetId="8">'All Costs'!$B$5:$I$29</definedName>
    <definedName name="_xlnm.Print_Area" localSheetId="10">BEA!$B$2:$X$49</definedName>
    <definedName name="_xlnm.Print_Area" localSheetId="4">BS!$B$4:$O$57</definedName>
    <definedName name="_xlnm.Print_Area" localSheetId="6">CFS!$B$5:$O$59</definedName>
    <definedName name="_xlnm.Print_Area" localSheetId="5">'P&amp;L'!$B$2:$O$58</definedName>
    <definedName name="_xlnm.Print_Area" localSheetId="3">'PAG-2'!$B$2:$F$19</definedName>
    <definedName name="_xlnm.Print_Area" localSheetId="11">WC!$B$5:$I$30</definedName>
    <definedName name="_xlnm.Print_Area">#REF!</definedName>
    <definedName name="PRINT_AREA_MI">#REF!</definedName>
    <definedName name="Print_Area_Reset" localSheetId="8">OFFSET(Full_Print,0,0,[0]!Last_Row)</definedName>
    <definedName name="Print_Area_Reset" localSheetId="0">OFFSET(Full_Print,0,0,[0]!Last_Row)</definedName>
    <definedName name="Print_Area_Reset" localSheetId="2">OFFSET(Full_Print,0,0,[0]!Last_Row)</definedName>
    <definedName name="Print_Area_Reset" localSheetId="1">OFFSET(Full_Print,0,0,[0]!Last_Row)</definedName>
    <definedName name="Print_Area_Reset" localSheetId="12">OFFSET(Full_Print,0,0,[0]!Last_Row)</definedName>
    <definedName name="Print_Area_Reset" localSheetId="14">OFFSET(Full_Print,0,0,[0]!Last_Row)</definedName>
    <definedName name="Print_Area_Reset" localSheetId="13">OFFSET(Full_Print,0,0,[0]!Last_Row)</definedName>
    <definedName name="Print_Area_Reset" localSheetId="15">OFFSET(Full_Print,0,0,[0]!Last_Row)</definedName>
    <definedName name="Print_Area_Reset">OFFSET(Full_Print,0,0,[0]!Last_Row)</definedName>
    <definedName name="_xlnm.Print_Titles" localSheetId="9">DAS!$1:$7</definedName>
    <definedName name="_xlnm.Print_Titles" localSheetId="5">'P&amp;L'!$2:$6</definedName>
    <definedName name="PrintManagerQuery" localSheetId="13">#REF!</definedName>
    <definedName name="PrintManagerQuery">#REF!</definedName>
    <definedName name="PrintSelectedSheetsMacroButton">#REF!</definedName>
    <definedName name="Product_Categories">#REF!</definedName>
    <definedName name="profitloss">#REF!</definedName>
    <definedName name="PROJ">#REF!</definedName>
    <definedName name="Proj_Name">#REF!</definedName>
    <definedName name="PROJECT">#REF!</definedName>
    <definedName name="PROJECT_NAME">#REF!</definedName>
    <definedName name="Projected_Yr2_COGS" localSheetId="15">#REF!</definedName>
    <definedName name="Projected_Yr2_COGS">#REF!</definedName>
    <definedName name="Projection" localSheetId="0">{"Client Name or Project Name"}</definedName>
    <definedName name="Projection" localSheetId="2">{"Client Name or Project Name"}</definedName>
    <definedName name="Projection" localSheetId="1">{"Client Name or Project Name"}</definedName>
    <definedName name="Projection" localSheetId="12">{"Client Name or Project Name"}</definedName>
    <definedName name="Projection" localSheetId="14">{"Client Name or Project Name"}</definedName>
    <definedName name="Projection" localSheetId="13">{"Client Name or Project Name"}</definedName>
    <definedName name="Projection" localSheetId="15">{"Client Name or Project Name"}</definedName>
    <definedName name="Projection">{"Client Name or Project Name"}</definedName>
    <definedName name="ProjectName" localSheetId="0">{"Client Name or Project Name"}</definedName>
    <definedName name="ProjectName" localSheetId="2">{"Client Name or Project Name"}</definedName>
    <definedName name="ProjectName" localSheetId="1">{"Client Name or Project Name"}</definedName>
    <definedName name="ProjectName" localSheetId="12">{"Client Name or Project Name"}</definedName>
    <definedName name="ProjectName" localSheetId="14">{"Client Name or Project Name"}</definedName>
    <definedName name="ProjectName" localSheetId="13">{"Client Name or Project Name"}</definedName>
    <definedName name="ProjectName" localSheetId="15">{"Client Name or Project Name"}</definedName>
    <definedName name="ProjectName">{"Client Name or Project Name"}</definedName>
    <definedName name="ProjectName2" localSheetId="0">{"MSREF V International Waterfall"}</definedName>
    <definedName name="ProjectName2" localSheetId="2">{"MSREF V International Waterfall"}</definedName>
    <definedName name="ProjectName2" localSheetId="1">{"MSREF V International Waterfall"}</definedName>
    <definedName name="ProjectName2" localSheetId="12">{"MSREF V International Waterfall"}</definedName>
    <definedName name="ProjectName2" localSheetId="14">{"MSREF V International Waterfall"}</definedName>
    <definedName name="ProjectName2" localSheetId="13">{"MSREF V International Waterfall"}</definedName>
    <definedName name="ProjectName2" localSheetId="15">{"MSREF V International Waterfall"}</definedName>
    <definedName name="ProjectName2">{"MSREF V International Waterfall"}</definedName>
    <definedName name="ProjLoss_R">#REF!</definedName>
    <definedName name="ProO2">#REF!</definedName>
    <definedName name="Property_Name">#REF!</definedName>
    <definedName name="qq" localSheetId="0">{2}</definedName>
    <definedName name="qq" localSheetId="2">{2}</definedName>
    <definedName name="qq" localSheetId="1">{2}</definedName>
    <definedName name="qq" localSheetId="12">{2}</definedName>
    <definedName name="qq" localSheetId="14">{2}</definedName>
    <definedName name="qq" localSheetId="13">{2}</definedName>
    <definedName name="qq" localSheetId="15">{2}</definedName>
    <definedName name="qq">{2}</definedName>
    <definedName name="qqqqqqqqqqqqq">#REF!</definedName>
    <definedName name="qwe">#REF!</definedName>
    <definedName name="Ratio">#REF!</definedName>
    <definedName name="Ratios" localSheetId="0">CapitalEmployed+CurrentLiab</definedName>
    <definedName name="Ratios" localSheetId="2">CapitalEmployed+CurrentLiab</definedName>
    <definedName name="Ratios" localSheetId="1">CapitalEmployed+CurrentLiab</definedName>
    <definedName name="Ratios" localSheetId="12">CapitalEmployed+CurrentLiab</definedName>
    <definedName name="Ratios" localSheetId="14">CapitalEmployed+CurrentLiab</definedName>
    <definedName name="Ratios" localSheetId="13">CapitalEmployed+CurrentLiab</definedName>
    <definedName name="Ratios" localSheetId="15">CapitalEmployed+CurrentLiab</definedName>
    <definedName name="Ratios">CapitalEmployed+CurrentLiab</definedName>
    <definedName name="_xlnm.Recorder">#REF!</definedName>
    <definedName name="RefinShort_R">#REF!</definedName>
    <definedName name="RETAIL_ASSETS">#REF!</definedName>
    <definedName name="RETAIL_ERN">#REF!</definedName>
    <definedName name="RETAIL_LIAB">#REF!</definedName>
    <definedName name="RETAIL1">#REF!</definedName>
    <definedName name="returns">#REF!</definedName>
    <definedName name="REVDATA">#REF!</definedName>
    <definedName name="REVENUE">#REF!</definedName>
    <definedName name="Revenue_Inflation">#REF!</definedName>
    <definedName name="REVENUEDA">#REF!</definedName>
    <definedName name="REVGP">#REF!</definedName>
    <definedName name="RMC">#REF!</definedName>
    <definedName name="RMconsumed">#REF!</definedName>
    <definedName name="Ro">[2]Home!$C$28</definedName>
    <definedName name="Rooms">#REF!</definedName>
    <definedName name="Rosenka">#REF!</definedName>
    <definedName name="RR">#REF!</definedName>
    <definedName name="Rs">"(₹ in "&amp;[2]Home!$C$27&amp;")"</definedName>
    <definedName name="s">#REF!</definedName>
    <definedName name="Safety_Stock">#REF!</definedName>
    <definedName name="Sale_in_Month">#REF!</definedName>
    <definedName name="Sale_in_Year">#REF!</definedName>
    <definedName name="Sales_Annual_Total" localSheetId="15">#REF!</definedName>
    <definedName name="Sales_Annual_Total">#REF!</definedName>
    <definedName name="Sales_Costs">#REF!</definedName>
    <definedName name="Sales_Mix">#REF!</definedName>
    <definedName name="Sales_per_day_w_Seasonality_Midweek">#REF!</definedName>
    <definedName name="Sales_per_day_w_Seasonality_Weekends">#REF!</definedName>
    <definedName name="SalesForecast_yr1" localSheetId="15">#REF!</definedName>
    <definedName name="SalesForecast_yr1">#REF!</definedName>
    <definedName name="SalesForecast_yr2" localSheetId="15">#REF!</definedName>
    <definedName name="SalesForecast_yr2">#REF!</definedName>
    <definedName name="SalesForecast_yr3" localSheetId="15">#REF!</definedName>
    <definedName name="SalesForecast_yr3">#REF!</definedName>
    <definedName name="SalesTax">#REF!</definedName>
    <definedName name="Sample1">#REF!</definedName>
    <definedName name="Sample2">#REF!</definedName>
    <definedName name="san">#REF!*#REF!</definedName>
    <definedName name="sanje" localSheetId="0">{"Client Name or Project Name"}</definedName>
    <definedName name="sanje" localSheetId="2">{"Client Name or Project Name"}</definedName>
    <definedName name="sanje" localSheetId="1">{"Client Name or Project Name"}</definedName>
    <definedName name="sanje" localSheetId="12">{"Client Name or Project Name"}</definedName>
    <definedName name="sanje" localSheetId="14">{"Client Name or Project Name"}</definedName>
    <definedName name="sanje" localSheetId="13">{"Client Name or Project Name"}</definedName>
    <definedName name="sanje" localSheetId="15">{"Client Name or Project Name"}</definedName>
    <definedName name="sanje">{"Client Name or Project Name"}</definedName>
    <definedName name="sanjeevparash" localSheetId="0">{"Client Name or Project Name"}</definedName>
    <definedName name="sanjeevparash" localSheetId="2">{"Client Name or Project Name"}</definedName>
    <definedName name="sanjeevparash" localSheetId="1">{"Client Name or Project Name"}</definedName>
    <definedName name="sanjeevparash" localSheetId="12">{"Client Name or Project Name"}</definedName>
    <definedName name="sanjeevparash" localSheetId="14">{"Client Name or Project Name"}</definedName>
    <definedName name="sanjeevparash" localSheetId="13">{"Client Name or Project Name"}</definedName>
    <definedName name="sanjeevparash" localSheetId="15">{"Client Name or Project Name"}</definedName>
    <definedName name="sanjeevparash">{"Client Name or Project Name"}</definedName>
    <definedName name="Scenarios">#REF!</definedName>
    <definedName name="Sched_Pay" localSheetId="15">#REF!</definedName>
    <definedName name="Sched_Pay">#REF!</definedName>
    <definedName name="Scheduled_Extra_Payments" localSheetId="15">#REF!</definedName>
    <definedName name="Scheduled_Extra_Payments">#REF!</definedName>
    <definedName name="Scheduled_Monthly_Payment" localSheetId="15">#REF!</definedName>
    <definedName name="Scheduled_Monthly_Payment">#REF!</definedName>
    <definedName name="sdd" localSheetId="0">{17}</definedName>
    <definedName name="sdd" localSheetId="2">{17}</definedName>
    <definedName name="sdd" localSheetId="1">{17}</definedName>
    <definedName name="sdd" localSheetId="12">{17}</definedName>
    <definedName name="sdd" localSheetId="14">{17}</definedName>
    <definedName name="sdd" localSheetId="13">{17}</definedName>
    <definedName name="sdd" localSheetId="15">{17}</definedName>
    <definedName name="sdd">{17}</definedName>
    <definedName name="SEASONALITY">#REF!</definedName>
    <definedName name="SeedCapital" localSheetId="15">#REF!</definedName>
    <definedName name="SeedCapital">#REF!</definedName>
    <definedName name="Sensi1">#REF!</definedName>
    <definedName name="Sensi2">#REF!</definedName>
    <definedName name="Sensi3">#REF!</definedName>
    <definedName name="sensitivity">#REF!</definedName>
    <definedName name="SF">#REF!</definedName>
    <definedName name="sfdfdlm">#REF!</definedName>
    <definedName name="shares">#REF!</definedName>
    <definedName name="shet1" hidden="1">#REF!</definedName>
    <definedName name="ShortTermDebt">#REF!</definedName>
    <definedName name="Show.Acct.Update.Warning" localSheetId="15" hidden="1">#REF!</definedName>
    <definedName name="Show.Acct.Update.Warning" hidden="1">#REF!</definedName>
    <definedName name="Show.Date">IF(#REF!&lt;&gt;"",DATE(YEAR(#REF!),MONTH(#REF!)+(#REF!-1)*12/#REF!,DAY(#REF!)),"")</definedName>
    <definedName name="Show.MDB.Update.Warning" localSheetId="15" hidden="1">#REF!</definedName>
    <definedName name="Show.MDB.Update.Warning" hidden="1">#REF!</definedName>
    <definedName name="SKU">#REF!</definedName>
    <definedName name="Snap">#REF!</definedName>
    <definedName name="SRH_Equity">#REF!</definedName>
    <definedName name="sss">IF(OR(#REF!="",#REF!=#REF!),"",#REF!+1)</definedName>
    <definedName name="ssss">#REF!/#REF!</definedName>
    <definedName name="sssss">#REF!</definedName>
    <definedName name="Staff" localSheetId="0">{17}</definedName>
    <definedName name="Staff" localSheetId="2">{17}</definedName>
    <definedName name="Staff" localSheetId="1">{17}</definedName>
    <definedName name="Staff" localSheetId="12">{17}</definedName>
    <definedName name="Staff" localSheetId="14">{17}</definedName>
    <definedName name="Staff" localSheetId="13">{17}</definedName>
    <definedName name="Staff" localSheetId="15">{17}</definedName>
    <definedName name="Staff">{17}</definedName>
    <definedName name="Staffing2" localSheetId="0">{2}</definedName>
    <definedName name="Staffing2" localSheetId="2">{2}</definedName>
    <definedName name="Staffing2" localSheetId="1">{2}</definedName>
    <definedName name="Staffing2" localSheetId="12">{2}</definedName>
    <definedName name="Staffing2" localSheetId="14">{2}</definedName>
    <definedName name="Staffing2" localSheetId="13">{2}</definedName>
    <definedName name="Staffing2" localSheetId="15">{2}</definedName>
    <definedName name="Staffing2">{2}</definedName>
    <definedName name="StartDate">#REF!</definedName>
    <definedName name="STATETAX">#REF!</definedName>
    <definedName name="Step_1">#REF!</definedName>
    <definedName name="Step_2">#REF!</definedName>
    <definedName name="Step_3">#REF!</definedName>
    <definedName name="Step_4">#REF!</definedName>
    <definedName name="Step_5">#REF!</definedName>
    <definedName name="Step_6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summary_print">#REF!</definedName>
    <definedName name="SWITCH">#REF!</definedName>
    <definedName name="sx">#REF!</definedName>
    <definedName name="TAV">#REF!</definedName>
    <definedName name="TAV_Bldg">#REF!</definedName>
    <definedName name="TAV_Land">#REF!</definedName>
    <definedName name="TAXES">#REF!</definedName>
    <definedName name="taxloc">#REF!</definedName>
    <definedName name="Temp" localSheetId="0">{"Client Name or Project Name"}</definedName>
    <definedName name="Temp" localSheetId="2">{"Client Name or Project Name"}</definedName>
    <definedName name="Temp" localSheetId="1">{"Client Name or Project Name"}</definedName>
    <definedName name="Temp" localSheetId="12">{"Client Name or Project Name"}</definedName>
    <definedName name="Temp" localSheetId="14">{"Client Name or Project Name"}</definedName>
    <definedName name="Temp" localSheetId="13">{"Client Name or Project Name"}</definedName>
    <definedName name="Temp" localSheetId="15">{"Client Name or Project Name"}</definedName>
    <definedName name="Temp">{"Client Name or Project Name"}</definedName>
    <definedName name="Term_in_years">#REF!</definedName>
    <definedName name="ThisYear">#REF!</definedName>
    <definedName name="Time_Period">#REF!</definedName>
    <definedName name="TOL">#N/A</definedName>
    <definedName name="total">#REF!</definedName>
    <definedName name="Total_Amount_Paid" localSheetId="15">#REF!</definedName>
    <definedName name="Total_Amount_Paid">#REF!</definedName>
    <definedName name="Total_Interest_Paid" localSheetId="15">#REF!</definedName>
    <definedName name="Total_Interest_Paid">#REF!</definedName>
    <definedName name="Total_number_of_students">#REF!</definedName>
    <definedName name="Total_Pay" localSheetId="15">#REF!</definedName>
    <definedName name="Total_Pay">#REF!</definedName>
    <definedName name="Total_payments">#REF!*#REF!</definedName>
    <definedName name="Total_Payments_LongTerm" localSheetId="15">#REF!</definedName>
    <definedName name="Total_Payments_LongTerm">#REF!</definedName>
    <definedName name="TotalAssets" localSheetId="0">CapitalEmployed+CurrentLiab</definedName>
    <definedName name="TotalAssets" localSheetId="2">CapitalEmployed+CurrentLiab</definedName>
    <definedName name="TotalAssets" localSheetId="1">CapitalEmployed+CurrentLiab</definedName>
    <definedName name="TotalAssets" localSheetId="12">CapitalEmployed+CurrentLiab</definedName>
    <definedName name="TotalAssets" localSheetId="14">CapitalEmployed+CurrentLiab</definedName>
    <definedName name="TotalAssets" localSheetId="13">CapitalEmployed+CurrentLiab</definedName>
    <definedName name="TotalAssets" localSheetId="15">CapitalEmployed+CurrentLiab</definedName>
    <definedName name="TotalAssets">CapitalEmployed+CurrentLiab</definedName>
    <definedName name="TotalBalance" localSheetId="13">#REF!</definedName>
    <definedName name="TotalBalance">#REF!</definedName>
    <definedName name="TotalCostofSales" localSheetId="13">#REF!</definedName>
    <definedName name="TotalCostofSales">#REF!</definedName>
    <definedName name="TotalCostofSalesSpinner" localSheetId="13">#REF!</definedName>
    <definedName name="TotalCostofSalesSpinner">#REF!</definedName>
    <definedName name="TotalDebt" localSheetId="0">LongTermDebt+#REF!+#REF!</definedName>
    <definedName name="TotalDebt" localSheetId="2">LongTermDebt+#REF!+#REF!</definedName>
    <definedName name="TotalDebt" localSheetId="1">LongTermDebt+#REF!+#REF!</definedName>
    <definedName name="TotalDebt" localSheetId="12">LongTermDebt+#REF!+#REF!</definedName>
    <definedName name="TotalDebt" localSheetId="14">LongTermDebt+#REF!+#REF!</definedName>
    <definedName name="TotalDebt" localSheetId="13">LongTermDebt+#REF!+#REF!</definedName>
    <definedName name="TotalDebt" localSheetId="15">LongTermDebt+#REF!+#REF!</definedName>
    <definedName name="TotalDebt">LongTermDebt+#REF!+#REF!</definedName>
    <definedName name="TotalLossSum_R" localSheetId="13">#REF!</definedName>
    <definedName name="TotalLossSum_R">#REF!</definedName>
    <definedName name="TotalOperatingCapital" localSheetId="15">#REF!</definedName>
    <definedName name="TotalOperatingCapital">#REF!</definedName>
    <definedName name="TotalRequiredFunds" localSheetId="15">#REF!</definedName>
    <definedName name="TotalRequiredFunds">#REF!</definedName>
    <definedName name="TOTALS_1998">#REF!</definedName>
    <definedName name="TotalSales">#REF!</definedName>
    <definedName name="TPNL">#REF!</definedName>
    <definedName name="TR">#REF!</definedName>
    <definedName name="TS_Billion">#REF!</definedName>
    <definedName name="TS_Currency">#REF!</definedName>
    <definedName name="TS_Days_In_Wk">#REF!</definedName>
    <definedName name="TS_Denom_Conv_Fact">#REF!</definedName>
    <definedName name="TS_First_Fin_Yr">#REF!</definedName>
    <definedName name="TS_Halves_In_Yr">#REF!</definedName>
    <definedName name="TS_Hrs_In_Day">#REF!</definedName>
    <definedName name="TS_Million">#REF!</definedName>
    <definedName name="TS_Mins_In_Hr">#REF!</definedName>
    <definedName name="TS_Mths_In_Half">#REF!</definedName>
    <definedName name="TS_Mths_In_Qtr">#REF!</definedName>
    <definedName name="TS_Mths_In_Yr">#REF!</definedName>
    <definedName name="TS_Qtrs_In_Half">#REF!</definedName>
    <definedName name="TS_Qtrs_In_Yr">#REF!</definedName>
    <definedName name="TS_Secs_In_Min">#REF!</definedName>
    <definedName name="TS_Start_Date">#REF!</definedName>
    <definedName name="TS_Term">#REF!</definedName>
    <definedName name="TS_Thousand">#REF!</definedName>
    <definedName name="TS_Years">#REF!</definedName>
    <definedName name="u">#REF!</definedName>
    <definedName name="Unit1" localSheetId="15">#REF!</definedName>
    <definedName name="Unit1">#REF!</definedName>
    <definedName name="Unit1_Annual" localSheetId="15">#REF!</definedName>
    <definedName name="Unit1_Annual">#REF!</definedName>
    <definedName name="Unit2" localSheetId="15">#REF!</definedName>
    <definedName name="Unit2">#REF!</definedName>
    <definedName name="Unit2_Annual" localSheetId="15">#REF!</definedName>
    <definedName name="Unit2_Annual">#REF!</definedName>
    <definedName name="Unit3" localSheetId="15">#REF!</definedName>
    <definedName name="Unit3">#REF!</definedName>
    <definedName name="Unit3_Annual" localSheetId="15">#REF!</definedName>
    <definedName name="Unit3_Annual">#REF!</definedName>
    <definedName name="Unit4" localSheetId="15">#REF!</definedName>
    <definedName name="Unit4">#REF!</definedName>
    <definedName name="Unit4_Annual" localSheetId="15">#REF!</definedName>
    <definedName name="Unit4_Annual">#REF!</definedName>
    <definedName name="Unit5" localSheetId="15">#REF!</definedName>
    <definedName name="Unit5">#REF!</definedName>
    <definedName name="Unit5_Annual" localSheetId="15">#REF!</definedName>
    <definedName name="Unit5_Annual">#REF!</definedName>
    <definedName name="Unit6" localSheetId="15">#REF!</definedName>
    <definedName name="Unit6">#REF!</definedName>
    <definedName name="Unit6_Annual" localSheetId="15">#REF!</definedName>
    <definedName name="Unit6_Annual">#REF!</definedName>
    <definedName name="Units">#REF!</definedName>
    <definedName name="Units_Annual_Total" localSheetId="15">#REF!</definedName>
    <definedName name="Units_Annual_Total">#REF!</definedName>
    <definedName name="uomAreaSmall">#REF!</definedName>
    <definedName name="Update">#REF!</definedName>
    <definedName name="USD_Convertor">#REF!</definedName>
    <definedName name="V">#REF!</definedName>
    <definedName name="V_EXP_SC">#REF!</definedName>
    <definedName name="VALUATION">#REF!</definedName>
    <definedName name="Values_Entered" localSheetId="8">IF([0]!Loan_Amount*Interest_Rate*Loan_Years*Loan_Start&gt;0,1,0)</definedName>
    <definedName name="Values_Entered" localSheetId="0">IF(Loan_Amount*Interest_Rate*Loan_Years*Loan_Start&gt;0,1,0)</definedName>
    <definedName name="Values_Entered" localSheetId="2">IF(Loan_Amount*Interest_Rate*Loan_Years*Loan_Start&gt;0,1,0)</definedName>
    <definedName name="Values_Entered" localSheetId="1">IF(Loan_Amount*Interest_Rate*Loan_Years*Loan_Start&gt;0,1,0)</definedName>
    <definedName name="Values_Entered" localSheetId="12">IF(Loan_Amount*Interest_Rate*Loan_Years*Loan_Start&gt;0,1,0)</definedName>
    <definedName name="Values_Entered" localSheetId="14">IF(Loan_Amount*Interest_Rate*Loan_Years*Loan_Start&gt;0,1,0)</definedName>
    <definedName name="Values_Entered" localSheetId="13">IF(Loan_Amount*Interest_Rate*Loan_Years*Loan_Start&gt;0,1,0)</definedName>
    <definedName name="Values_Entered" localSheetId="15">IF('Valuation-VC '!Loan_Amount*Interest_Rate*Loan_Years*Loan_Start&gt;0,1,0)</definedName>
    <definedName name="Values_Entered">IF(Loan_Amount*Interest_Rate*Loan_Years*Loan_Start&gt;0,1,0)</definedName>
    <definedName name="ValueShort_R" localSheetId="13">#REF!</definedName>
    <definedName name="ValueShort_R">#REF!</definedName>
    <definedName name="valuevx">42.314159</definedName>
    <definedName name="vbdata">#REF!</definedName>
    <definedName name="VehicleLoan" localSheetId="15">#REF!</definedName>
    <definedName name="VehicleLoan">#REF!</definedName>
    <definedName name="Vehicles" localSheetId="15">#REF!</definedName>
    <definedName name="Vehicles">#REF!</definedName>
    <definedName name="VEXPENSES">#REF!</definedName>
    <definedName name="w">#REF!</definedName>
    <definedName name="WACC">#REF!</definedName>
    <definedName name="WAGES">#REF!</definedName>
    <definedName name="WATER">#REF!</definedName>
    <definedName name="Waterfall">#REF!</definedName>
    <definedName name="Work_Days">#REF!</definedName>
    <definedName name="Working_Capital" localSheetId="15">#REF!</definedName>
    <definedName name="Working_Capital">#REF!</definedName>
    <definedName name="workkingcapital">#REF!</definedName>
    <definedName name="worstgrow">#REF!</definedName>
    <definedName name="wretr5y" localSheetId="0">{"Project Oasis"}</definedName>
    <definedName name="wretr5y" localSheetId="2">{"Project Oasis"}</definedName>
    <definedName name="wretr5y" localSheetId="1">{"Project Oasis"}</definedName>
    <definedName name="wretr5y" localSheetId="12">{"Project Oasis"}</definedName>
    <definedName name="wretr5y" localSheetId="14">{"Project Oasis"}</definedName>
    <definedName name="wretr5y" localSheetId="13">{"Project Oasis"}</definedName>
    <definedName name="wretr5y" localSheetId="15">{"Project Oasis"}</definedName>
    <definedName name="wretr5y">{"Project Oasis"}</definedName>
    <definedName name="wrn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NZ._.Report." localSheetId="0" hidden="1">{#N/A,#N/A,FALSE,"Balance Sheets";#N/A,#N/A,FALSE,"96 Conservative";#N/A,#N/A,FALSE,"96 Possible"}</definedName>
    <definedName name="wrn.ANZ._.Report." localSheetId="2" hidden="1">{#N/A,#N/A,FALSE,"Balance Sheets";#N/A,#N/A,FALSE,"96 Conservative";#N/A,#N/A,FALSE,"96 Possible"}</definedName>
    <definedName name="wrn.ANZ._.Report." localSheetId="1" hidden="1">{#N/A,#N/A,FALSE,"Balance Sheets";#N/A,#N/A,FALSE,"96 Conservative";#N/A,#N/A,FALSE,"96 Possible"}</definedName>
    <definedName name="wrn.ANZ._.Report." localSheetId="12" hidden="1">{#N/A,#N/A,FALSE,"Balance Sheets";#N/A,#N/A,FALSE,"96 Conservative";#N/A,#N/A,FALSE,"96 Possible"}</definedName>
    <definedName name="wrn.ANZ._.Report." localSheetId="14" hidden="1">{#N/A,#N/A,FALSE,"Balance Sheets";#N/A,#N/A,FALSE,"96 Conservative";#N/A,#N/A,FALSE,"96 Possible"}</definedName>
    <definedName name="wrn.ANZ._.Report." localSheetId="13" hidden="1">{#N/A,#N/A,FALSE,"Balance Sheets";#N/A,#N/A,FALSE,"96 Conservative";#N/A,#N/A,FALSE,"96 Possible"}</definedName>
    <definedName name="wrn.ANZ._.Report." localSheetId="15" hidden="1">{#N/A,#N/A,FALSE,"Balance Sheets";#N/A,#N/A,FALSE,"96 Conservative";#N/A,#N/A,FALSE,"96 Possible"}</definedName>
    <definedName name="wrn.ANZ._.Report." hidden="1">{#N/A,#N/A,FALSE,"Balance Sheets";#N/A,#N/A,FALSE,"96 Conservative";#N/A,#N/A,FALSE,"96 Possible"}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localSheetId="2" hidden="1">{#N/A,#N/A,TRUE,"Financials";#N/A,#N/A,TRUE,"Operating Statistics";#N/A,#N/A,TRUE,"Capex &amp; Depreciation";#N/A,#N/A,TRUE,"Debt"}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12" hidden="1">{#N/A,#N/A,TRUE,"Financials";#N/A,#N/A,TRUE,"Operating Statistics";#N/A,#N/A,TRUE,"Capex &amp; Depreciation";#N/A,#N/A,TRUE,"Debt"}</definedName>
    <definedName name="wrn.Full._.Financials." localSheetId="14" hidden="1">{#N/A,#N/A,TRUE,"Financials";#N/A,#N/A,TRUE,"Operating Statistics";#N/A,#N/A,TRUE,"Capex &amp; Depreciation";#N/A,#N/A,TRUE,"Debt"}</definedName>
    <definedName name="wrn.Full._.Financials." localSheetId="13" hidden="1">{#N/A,#N/A,TRUE,"Financials";#N/A,#N/A,TRUE,"Operating Statistics";#N/A,#N/A,TRUE,"Capex &amp; Depreciation";#N/A,#N/A,TRUE,"Debt"}</definedName>
    <definedName name="wrn.Full._.Financials." localSheetId="15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0" hidden="1">{#N/A,#N/A,FALSE,"One Pager";#N/A,#N/A,FALSE,"Technical"}</definedName>
    <definedName name="wrn.One._.Pager._.plus._.Technicals." localSheetId="2" hidden="1">{#N/A,#N/A,FALSE,"One Pager";#N/A,#N/A,FALSE,"Technical"}</definedName>
    <definedName name="wrn.One._.Pager._.plus._.Technicals." localSheetId="1" hidden="1">{#N/A,#N/A,FALSE,"One Pager";#N/A,#N/A,FALSE,"Technical"}</definedName>
    <definedName name="wrn.One._.Pager._.plus._.Technicals." localSheetId="12" hidden="1">{#N/A,#N/A,FALSE,"One Pager";#N/A,#N/A,FALSE,"Technical"}</definedName>
    <definedName name="wrn.One._.Pager._.plus._.Technicals." localSheetId="14" hidden="1">{#N/A,#N/A,FALSE,"One Pager";#N/A,#N/A,FALSE,"Technical"}</definedName>
    <definedName name="wrn.One._.Pager._.plus._.Technicals." localSheetId="13" hidden="1">{#N/A,#N/A,FALSE,"One Pager";#N/A,#N/A,FALSE,"Technical"}</definedName>
    <definedName name="wrn.One._.Pager._.plus._.Technicals." localSheetId="15" hidden="1">{#N/A,#N/A,FALSE,"One Pager";#N/A,#N/A,FALSE,"Technical"}</definedName>
    <definedName name="wrn.One._.Pager._.plus._.Technicals." hidden="1">{#N/A,#N/A,FALSE,"One Pager";#N/A,#N/A,FALSE,"Technical"}</definedName>
    <definedName name="x" localSheetId="0" hidden="1">{#N/A,#N/A,FALSE,"Balance Sheets";#N/A,#N/A,FALSE,"96 Conservative";#N/A,#N/A,FALSE,"96 Possible"}</definedName>
    <definedName name="x" localSheetId="2" hidden="1">{#N/A,#N/A,FALSE,"Balance Sheets";#N/A,#N/A,FALSE,"96 Conservative";#N/A,#N/A,FALSE,"96 Possible"}</definedName>
    <definedName name="x" localSheetId="1" hidden="1">{#N/A,#N/A,FALSE,"Balance Sheets";#N/A,#N/A,FALSE,"96 Conservative";#N/A,#N/A,FALSE,"96 Possible"}</definedName>
    <definedName name="x" localSheetId="12" hidden="1">{#N/A,#N/A,FALSE,"Balance Sheets";#N/A,#N/A,FALSE,"96 Conservative";#N/A,#N/A,FALSE,"96 Possible"}</definedName>
    <definedName name="x" localSheetId="14" hidden="1">{#N/A,#N/A,FALSE,"Balance Sheets";#N/A,#N/A,FALSE,"96 Conservative";#N/A,#N/A,FALSE,"96 Possible"}</definedName>
    <definedName name="x" localSheetId="13" hidden="1">{#N/A,#N/A,FALSE,"Balance Sheets";#N/A,#N/A,FALSE,"96 Conservative";#N/A,#N/A,FALSE,"96 Possible"}</definedName>
    <definedName name="x" localSheetId="15" hidden="1">{#N/A,#N/A,FALSE,"Balance Sheets";#N/A,#N/A,FALSE,"96 Conservative";#N/A,#N/A,FALSE,"96 Possible"}</definedName>
    <definedName name="x" hidden="1">{#N/A,#N/A,FALSE,"Balance Sheets";#N/A,#N/A,FALSE,"96 Conservative";#N/A,#N/A,FALSE,"96 Possible"}</definedName>
    <definedName name="xsmsjdkjd" localSheetId="0">{"Client Name or Project Name"}</definedName>
    <definedName name="xsmsjdkjd" localSheetId="2">{"Client Name or Project Name"}</definedName>
    <definedName name="xsmsjdkjd" localSheetId="1">{"Client Name or Project Name"}</definedName>
    <definedName name="xsmsjdkjd" localSheetId="12">{"Client Name or Project Name"}</definedName>
    <definedName name="xsmsjdkjd" localSheetId="14">{"Client Name or Project Name"}</definedName>
    <definedName name="xsmsjdkjd" localSheetId="13">{"Client Name or Project Name"}</definedName>
    <definedName name="xsmsjdkjd" localSheetId="15">{"Client Name or Project Name"}</definedName>
    <definedName name="xsmsjdkjd">{"Client Name or Project Name"}</definedName>
    <definedName name="xyz">#REF!</definedName>
    <definedName name="Y1EndingCashBal" localSheetId="15">#REF!</definedName>
    <definedName name="Y1EndingCashBal">#REF!</definedName>
    <definedName name="Year_of_Foreclosure">#REF!</definedName>
    <definedName name="YearlyPayments_ShortTerm" localSheetId="15">#REF!</definedName>
    <definedName name="YearlyPayments_ShortTerm">#REF!</definedName>
    <definedName name="YEM">#REF!</definedName>
    <definedName name="Yr1_R">#REF!</definedName>
    <definedName name="Yr10_R">#REF!</definedName>
    <definedName name="Yr2_R">#REF!</definedName>
    <definedName name="Yr3_R">#REF!</definedName>
    <definedName name="Yr4_R">#REF!</definedName>
    <definedName name="Yr5_R">#REF!</definedName>
    <definedName name="Yr6_R">#REF!</definedName>
    <definedName name="Yr7_R">#REF!</definedName>
    <definedName name="Yr8_R">#REF!</definedName>
    <definedName name="Yr9_R">#REF!</definedName>
    <definedName name="YTM">#REF!</definedName>
    <definedName name="yyyyyyyyyyyyyyyyyyyyyyyyyyyyyyyyyyyyyyyyyyyyyyyyyyyyyyyyyyyyyyyyyyyyyyyyyyyyyyyyyyyyyyyyyyyyyyyyyyy">#REF!</definedName>
    <definedName name="Zinsen1_3">#REF!</definedName>
    <definedName name="Zinsen4_5">#REF!</definedName>
    <definedName name="Zinsen6_7">#REF!</definedName>
    <definedName name="Zinsen8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0" l="1"/>
  <c r="L16" i="18"/>
  <c r="F10" i="18"/>
  <c r="H15" i="2"/>
  <c r="I15" i="2" s="1"/>
  <c r="J15" i="2" s="1"/>
  <c r="K15" i="2" s="1"/>
  <c r="L15" i="2" s="1"/>
  <c r="M15" i="2" s="1"/>
  <c r="N15" i="2" s="1"/>
  <c r="O15" i="2" s="1"/>
  <c r="G15" i="2"/>
  <c r="H13" i="2"/>
  <c r="I13" i="2" s="1"/>
  <c r="J13" i="2" s="1"/>
  <c r="K13" i="2" s="1"/>
  <c r="L13" i="2" s="1"/>
  <c r="M13" i="2" s="1"/>
  <c r="N13" i="2" s="1"/>
  <c r="O13" i="2" s="1"/>
  <c r="G13" i="2"/>
  <c r="G36" i="4"/>
  <c r="H36" i="4"/>
  <c r="I36" i="4"/>
  <c r="J36" i="4"/>
  <c r="K36" i="4"/>
  <c r="L36" i="4"/>
  <c r="M36" i="4"/>
  <c r="N36" i="4"/>
  <c r="O36" i="4"/>
  <c r="F36" i="4"/>
  <c r="F15" i="2"/>
  <c r="F30" i="4"/>
  <c r="E39" i="14"/>
  <c r="E38" i="14"/>
  <c r="E44" i="14"/>
  <c r="E42" i="14"/>
  <c r="D34" i="14"/>
  <c r="D13" i="17"/>
  <c r="G34" i="4"/>
  <c r="H34" i="4"/>
  <c r="I34" i="4"/>
  <c r="J34" i="4"/>
  <c r="K34" i="4"/>
  <c r="L34" i="4"/>
  <c r="M34" i="4"/>
  <c r="N34" i="4"/>
  <c r="O34" i="4"/>
  <c r="F34" i="4"/>
  <c r="H70" i="19"/>
  <c r="I70" i="19"/>
  <c r="J70" i="19"/>
  <c r="K70" i="19"/>
  <c r="N19" i="2" s="1"/>
  <c r="L70" i="19"/>
  <c r="L69" i="19"/>
  <c r="K69" i="19"/>
  <c r="J69" i="19"/>
  <c r="I69" i="19"/>
  <c r="H69" i="19"/>
  <c r="K27" i="2" s="1"/>
  <c r="C70" i="19"/>
  <c r="D70" i="19"/>
  <c r="E70" i="19"/>
  <c r="F70" i="19"/>
  <c r="G70" i="19"/>
  <c r="G69" i="19"/>
  <c r="F69" i="19"/>
  <c r="E69" i="19"/>
  <c r="D69" i="19"/>
  <c r="G27" i="2" s="1"/>
  <c r="C69" i="19"/>
  <c r="O27" i="2"/>
  <c r="L67" i="19"/>
  <c r="D67" i="19"/>
  <c r="E67" i="19"/>
  <c r="F67" i="19"/>
  <c r="G67" i="19"/>
  <c r="H67" i="19"/>
  <c r="I67" i="19"/>
  <c r="J67" i="19"/>
  <c r="K67" i="19"/>
  <c r="C67" i="19"/>
  <c r="H27" i="2"/>
  <c r="I27" i="2"/>
  <c r="J27" i="2"/>
  <c r="L27" i="2"/>
  <c r="M27" i="2"/>
  <c r="N27" i="2"/>
  <c r="F27" i="2"/>
  <c r="G19" i="2"/>
  <c r="H19" i="2"/>
  <c r="I19" i="2"/>
  <c r="J19" i="2"/>
  <c r="K19" i="2"/>
  <c r="L19" i="2"/>
  <c r="M19" i="2"/>
  <c r="O19" i="2"/>
  <c r="F19" i="2"/>
  <c r="D21" i="3"/>
  <c r="D19" i="3"/>
  <c r="D47" i="9"/>
  <c r="AD7" i="18"/>
  <c r="AC7" i="18"/>
  <c r="AB7" i="18"/>
  <c r="E48" i="20"/>
  <c r="E47" i="20"/>
  <c r="E41" i="20"/>
  <c r="B52" i="20"/>
  <c r="D50" i="20"/>
  <c r="F48" i="20"/>
  <c r="D43" i="20"/>
  <c r="E34" i="20"/>
  <c r="E33" i="20"/>
  <c r="F33" i="20" s="1"/>
  <c r="D36" i="20"/>
  <c r="B38" i="20"/>
  <c r="F34" i="20"/>
  <c r="B30" i="20"/>
  <c r="E26" i="20"/>
  <c r="F26" i="20" s="1"/>
  <c r="E25" i="20"/>
  <c r="F25" i="20" s="1"/>
  <c r="E14" i="20"/>
  <c r="F14" i="20" s="1"/>
  <c r="G14" i="20" s="1"/>
  <c r="F15" i="20"/>
  <c r="G15" i="20" s="1"/>
  <c r="F16" i="20"/>
  <c r="G16" i="20" s="1"/>
  <c r="E13" i="20"/>
  <c r="F13" i="20" s="1"/>
  <c r="B20" i="20"/>
  <c r="B21" i="20" s="1"/>
  <c r="B22" i="20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G32" i="4"/>
  <c r="H32" i="4"/>
  <c r="I32" i="4"/>
  <c r="J32" i="4"/>
  <c r="K32" i="4"/>
  <c r="L32" i="4"/>
  <c r="M32" i="4"/>
  <c r="N32" i="4"/>
  <c r="O32" i="4"/>
  <c r="F32" i="4"/>
  <c r="G49" i="3"/>
  <c r="H49" i="3"/>
  <c r="I49" i="3"/>
  <c r="J49" i="3"/>
  <c r="K49" i="3"/>
  <c r="L49" i="3"/>
  <c r="M49" i="3"/>
  <c r="N49" i="3"/>
  <c r="O49" i="3"/>
  <c r="F49" i="3"/>
  <c r="C32" i="12"/>
  <c r="G9" i="13"/>
  <c r="G8" i="13"/>
  <c r="C73" i="19"/>
  <c r="D55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U55" i="19"/>
  <c r="V55" i="19"/>
  <c r="W55" i="19"/>
  <c r="X55" i="19"/>
  <c r="Y55" i="19"/>
  <c r="Z55" i="19"/>
  <c r="AA55" i="19"/>
  <c r="AB55" i="19"/>
  <c r="AC55" i="19"/>
  <c r="AD55" i="19"/>
  <c r="AE55" i="19"/>
  <c r="AF55" i="19"/>
  <c r="AG55" i="19"/>
  <c r="AH55" i="19"/>
  <c r="AI55" i="19"/>
  <c r="AJ55" i="19"/>
  <c r="AK55" i="19"/>
  <c r="AL55" i="19"/>
  <c r="AM55" i="19"/>
  <c r="AN55" i="19"/>
  <c r="AO55" i="19"/>
  <c r="AP55" i="19"/>
  <c r="AQ55" i="19"/>
  <c r="AR55" i="19"/>
  <c r="AS55" i="19"/>
  <c r="AT55" i="19"/>
  <c r="AU55" i="19"/>
  <c r="AV55" i="19"/>
  <c r="AW55" i="19"/>
  <c r="AX55" i="19"/>
  <c r="AY55" i="19"/>
  <c r="AZ55" i="19"/>
  <c r="BA55" i="19"/>
  <c r="BB55" i="19"/>
  <c r="BC55" i="19"/>
  <c r="BD55" i="19"/>
  <c r="BE55" i="19"/>
  <c r="BF55" i="19"/>
  <c r="BG55" i="19"/>
  <c r="BH55" i="19"/>
  <c r="BI55" i="19"/>
  <c r="BJ55" i="19"/>
  <c r="BK55" i="19"/>
  <c r="BL55" i="19"/>
  <c r="BM55" i="19"/>
  <c r="BN55" i="19"/>
  <c r="BO55" i="19"/>
  <c r="BP55" i="19"/>
  <c r="BQ55" i="19"/>
  <c r="BR55" i="19"/>
  <c r="BS55" i="19"/>
  <c r="BT55" i="19"/>
  <c r="BU55" i="19"/>
  <c r="BV55" i="19"/>
  <c r="BW55" i="19"/>
  <c r="BX55" i="19"/>
  <c r="BY55" i="19"/>
  <c r="BZ55" i="19"/>
  <c r="CA55" i="19"/>
  <c r="CB55" i="19"/>
  <c r="CC55" i="19"/>
  <c r="CD55" i="19"/>
  <c r="CE55" i="19"/>
  <c r="CF55" i="19"/>
  <c r="CG55" i="19"/>
  <c r="CH55" i="19"/>
  <c r="CI55" i="19"/>
  <c r="CJ55" i="19"/>
  <c r="CK55" i="19"/>
  <c r="CL55" i="19"/>
  <c r="CM55" i="19"/>
  <c r="CN55" i="19"/>
  <c r="CO55" i="19"/>
  <c r="CP55" i="19"/>
  <c r="CQ55" i="19"/>
  <c r="CR55" i="19"/>
  <c r="CS55" i="19"/>
  <c r="CT55" i="19"/>
  <c r="CU55" i="19"/>
  <c r="CV55" i="19"/>
  <c r="CW55" i="19"/>
  <c r="CX55" i="19"/>
  <c r="CY55" i="19"/>
  <c r="CZ55" i="19"/>
  <c r="DA55" i="19"/>
  <c r="DB55" i="19"/>
  <c r="DC55" i="19"/>
  <c r="DD55" i="19"/>
  <c r="DE55" i="19"/>
  <c r="DF55" i="19"/>
  <c r="DG55" i="19"/>
  <c r="DH55" i="19"/>
  <c r="DI55" i="19"/>
  <c r="DJ55" i="19"/>
  <c r="DK55" i="19"/>
  <c r="DL55" i="19"/>
  <c r="DM55" i="19"/>
  <c r="DN55" i="19"/>
  <c r="DO55" i="19"/>
  <c r="DP55" i="19"/>
  <c r="DQ55" i="19"/>
  <c r="DR55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AY56" i="19"/>
  <c r="AZ56" i="19"/>
  <c r="BA56" i="19"/>
  <c r="BB56" i="19"/>
  <c r="BC56" i="19"/>
  <c r="BD56" i="19"/>
  <c r="BE56" i="19"/>
  <c r="BF56" i="19"/>
  <c r="BG56" i="19"/>
  <c r="BH56" i="19"/>
  <c r="BI56" i="19"/>
  <c r="BJ56" i="19"/>
  <c r="BK56" i="19"/>
  <c r="BL56" i="19"/>
  <c r="BM56" i="19"/>
  <c r="BN56" i="19"/>
  <c r="BO56" i="19"/>
  <c r="BP56" i="19"/>
  <c r="BQ56" i="19"/>
  <c r="BR56" i="19"/>
  <c r="BS56" i="19"/>
  <c r="BT56" i="19"/>
  <c r="BU56" i="19"/>
  <c r="BV56" i="19"/>
  <c r="BW56" i="19"/>
  <c r="BX56" i="19"/>
  <c r="BY56" i="19"/>
  <c r="BZ56" i="19"/>
  <c r="CA56" i="19"/>
  <c r="CB56" i="19"/>
  <c r="CC56" i="19"/>
  <c r="CD56" i="19"/>
  <c r="CE56" i="19"/>
  <c r="CF56" i="19"/>
  <c r="CG56" i="19"/>
  <c r="CH56" i="19"/>
  <c r="CI56" i="19"/>
  <c r="CJ56" i="19"/>
  <c r="CK56" i="19"/>
  <c r="CL56" i="19"/>
  <c r="CM56" i="19"/>
  <c r="CN56" i="19"/>
  <c r="CO56" i="19"/>
  <c r="CP56" i="19"/>
  <c r="CQ56" i="19"/>
  <c r="CR56" i="19"/>
  <c r="CS56" i="19"/>
  <c r="CT56" i="19"/>
  <c r="CU56" i="19"/>
  <c r="CV56" i="19"/>
  <c r="CW56" i="19"/>
  <c r="CX56" i="19"/>
  <c r="CY56" i="19"/>
  <c r="CZ56" i="19"/>
  <c r="DA56" i="19"/>
  <c r="DB56" i="19"/>
  <c r="DC56" i="19"/>
  <c r="DD56" i="19"/>
  <c r="DE56" i="19"/>
  <c r="DF56" i="19"/>
  <c r="DG56" i="19"/>
  <c r="DH56" i="19"/>
  <c r="DI56" i="19"/>
  <c r="DJ56" i="19"/>
  <c r="DK56" i="19"/>
  <c r="DL56" i="19"/>
  <c r="DM56" i="19"/>
  <c r="DN56" i="19"/>
  <c r="DO56" i="19"/>
  <c r="DP56" i="19"/>
  <c r="DQ56" i="19"/>
  <c r="DR56" i="19"/>
  <c r="D57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U57" i="19"/>
  <c r="V57" i="19"/>
  <c r="W57" i="19"/>
  <c r="X57" i="19"/>
  <c r="Y57" i="19"/>
  <c r="Z57" i="19"/>
  <c r="AA57" i="19"/>
  <c r="AB57" i="19"/>
  <c r="AC57" i="19"/>
  <c r="AD57" i="19"/>
  <c r="AE57" i="19"/>
  <c r="AF57" i="19"/>
  <c r="AG57" i="19"/>
  <c r="AH57" i="19"/>
  <c r="AI57" i="19"/>
  <c r="AJ57" i="19"/>
  <c r="AK57" i="19"/>
  <c r="AL57" i="19"/>
  <c r="AM57" i="19"/>
  <c r="AN57" i="19"/>
  <c r="AO57" i="19"/>
  <c r="AP57" i="19"/>
  <c r="AQ57" i="19"/>
  <c r="AR57" i="19"/>
  <c r="AS57" i="19"/>
  <c r="AT57" i="19"/>
  <c r="AU57" i="19"/>
  <c r="AV57" i="19"/>
  <c r="AW57" i="19"/>
  <c r="AX57" i="19"/>
  <c r="AY57" i="19"/>
  <c r="AZ57" i="19"/>
  <c r="BA57" i="19"/>
  <c r="BB57" i="19"/>
  <c r="BC57" i="19"/>
  <c r="BD57" i="19"/>
  <c r="BE57" i="19"/>
  <c r="BF57" i="19"/>
  <c r="BG57" i="19"/>
  <c r="BH57" i="19"/>
  <c r="BI57" i="19"/>
  <c r="BJ57" i="19"/>
  <c r="BK57" i="19"/>
  <c r="BL57" i="19"/>
  <c r="BM57" i="19"/>
  <c r="BN57" i="19"/>
  <c r="BO57" i="19"/>
  <c r="BP57" i="19"/>
  <c r="BQ57" i="19"/>
  <c r="BR57" i="19"/>
  <c r="BS57" i="19"/>
  <c r="BT57" i="19"/>
  <c r="BU57" i="19"/>
  <c r="BV57" i="19"/>
  <c r="BW57" i="19"/>
  <c r="BX57" i="19"/>
  <c r="BY57" i="19"/>
  <c r="BZ57" i="19"/>
  <c r="CA57" i="19"/>
  <c r="CB57" i="19"/>
  <c r="CC57" i="19"/>
  <c r="CD57" i="19"/>
  <c r="CE57" i="19"/>
  <c r="CF57" i="19"/>
  <c r="CG57" i="19"/>
  <c r="CH57" i="19"/>
  <c r="CI57" i="19"/>
  <c r="CJ57" i="19"/>
  <c r="CK57" i="19"/>
  <c r="CL57" i="19"/>
  <c r="CM57" i="19"/>
  <c r="CN57" i="19"/>
  <c r="CO57" i="19"/>
  <c r="CP57" i="19"/>
  <c r="CQ57" i="19"/>
  <c r="CR57" i="19"/>
  <c r="CS57" i="19"/>
  <c r="CT57" i="19"/>
  <c r="CU57" i="19"/>
  <c r="CV57" i="19"/>
  <c r="CW57" i="19"/>
  <c r="CX57" i="19"/>
  <c r="CY57" i="19"/>
  <c r="CZ57" i="19"/>
  <c r="DA57" i="19"/>
  <c r="DB57" i="19"/>
  <c r="DC57" i="19"/>
  <c r="DD57" i="19"/>
  <c r="DE57" i="19"/>
  <c r="DF57" i="19"/>
  <c r="DG57" i="19"/>
  <c r="DH57" i="19"/>
  <c r="DI57" i="19"/>
  <c r="DJ57" i="19"/>
  <c r="DK57" i="19"/>
  <c r="DL57" i="19"/>
  <c r="DM57" i="19"/>
  <c r="DN57" i="19"/>
  <c r="DO57" i="19"/>
  <c r="DP57" i="19"/>
  <c r="DQ57" i="19"/>
  <c r="DR57" i="19"/>
  <c r="D58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U58" i="19"/>
  <c r="V58" i="19"/>
  <c r="W58" i="19"/>
  <c r="X58" i="19"/>
  <c r="Y58" i="19"/>
  <c r="Z58" i="19"/>
  <c r="AA58" i="19"/>
  <c r="AB58" i="19"/>
  <c r="AC58" i="19"/>
  <c r="AD58" i="19"/>
  <c r="AE58" i="19"/>
  <c r="AF58" i="19"/>
  <c r="AG58" i="19"/>
  <c r="AH58" i="19"/>
  <c r="AI58" i="19"/>
  <c r="AJ58" i="19"/>
  <c r="AK58" i="19"/>
  <c r="AL58" i="19"/>
  <c r="AM58" i="19"/>
  <c r="AN58" i="19"/>
  <c r="AO58" i="19"/>
  <c r="AP58" i="19"/>
  <c r="AQ58" i="19"/>
  <c r="AR58" i="19"/>
  <c r="AS58" i="19"/>
  <c r="AT58" i="19"/>
  <c r="AU58" i="19"/>
  <c r="AV58" i="19"/>
  <c r="AW58" i="19"/>
  <c r="AX58" i="19"/>
  <c r="AY58" i="19"/>
  <c r="AZ58" i="19"/>
  <c r="BA58" i="19"/>
  <c r="BB58" i="19"/>
  <c r="BC58" i="19"/>
  <c r="BD58" i="19"/>
  <c r="BE58" i="19"/>
  <c r="BF58" i="19"/>
  <c r="BG58" i="19"/>
  <c r="BH58" i="19"/>
  <c r="BI58" i="19"/>
  <c r="BJ58" i="19"/>
  <c r="BK58" i="19"/>
  <c r="BL58" i="19"/>
  <c r="BM58" i="19"/>
  <c r="BN58" i="19"/>
  <c r="BO58" i="19"/>
  <c r="BP58" i="19"/>
  <c r="BQ58" i="19"/>
  <c r="BR58" i="19"/>
  <c r="BS58" i="19"/>
  <c r="BT58" i="19"/>
  <c r="BU58" i="19"/>
  <c r="BV58" i="19"/>
  <c r="BW58" i="19"/>
  <c r="BX58" i="19"/>
  <c r="BY58" i="19"/>
  <c r="BZ58" i="19"/>
  <c r="CA58" i="19"/>
  <c r="CB58" i="19"/>
  <c r="CC58" i="19"/>
  <c r="CD58" i="19"/>
  <c r="CE58" i="19"/>
  <c r="CF58" i="19"/>
  <c r="CG58" i="19"/>
  <c r="CH58" i="19"/>
  <c r="CI58" i="19"/>
  <c r="CJ58" i="19"/>
  <c r="CK58" i="19"/>
  <c r="CL58" i="19"/>
  <c r="CM58" i="19"/>
  <c r="CN58" i="19"/>
  <c r="CO58" i="19"/>
  <c r="CP58" i="19"/>
  <c r="CQ58" i="19"/>
  <c r="CR58" i="19"/>
  <c r="CS58" i="19"/>
  <c r="CT58" i="19"/>
  <c r="CU58" i="19"/>
  <c r="CV58" i="19"/>
  <c r="CW58" i="19"/>
  <c r="CX58" i="19"/>
  <c r="CY58" i="19"/>
  <c r="CZ58" i="19"/>
  <c r="DA58" i="19"/>
  <c r="DB58" i="19"/>
  <c r="DC58" i="19"/>
  <c r="DD58" i="19"/>
  <c r="DE58" i="19"/>
  <c r="DF58" i="19"/>
  <c r="DG58" i="19"/>
  <c r="DH58" i="19"/>
  <c r="DI58" i="19"/>
  <c r="DJ58" i="19"/>
  <c r="DK58" i="19"/>
  <c r="DL58" i="19"/>
  <c r="DM58" i="19"/>
  <c r="DN58" i="19"/>
  <c r="DO58" i="19"/>
  <c r="DP58" i="19"/>
  <c r="DQ58" i="19"/>
  <c r="DR58" i="19"/>
  <c r="D59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U59" i="19"/>
  <c r="V59" i="19"/>
  <c r="W59" i="19"/>
  <c r="X59" i="19"/>
  <c r="Y59" i="19"/>
  <c r="Z59" i="19"/>
  <c r="AA59" i="19"/>
  <c r="AB59" i="19"/>
  <c r="AC59" i="19"/>
  <c r="AD59" i="19"/>
  <c r="AE59" i="19"/>
  <c r="AF59" i="19"/>
  <c r="AG59" i="19"/>
  <c r="AH59" i="19"/>
  <c r="AI59" i="19"/>
  <c r="AJ59" i="19"/>
  <c r="AK59" i="19"/>
  <c r="AL59" i="19"/>
  <c r="AM59" i="19"/>
  <c r="AN59" i="19"/>
  <c r="AO59" i="19"/>
  <c r="AP59" i="19"/>
  <c r="AQ59" i="19"/>
  <c r="AR59" i="19"/>
  <c r="AS59" i="19"/>
  <c r="AT59" i="19"/>
  <c r="AU59" i="19"/>
  <c r="AV59" i="19"/>
  <c r="AW59" i="19"/>
  <c r="AX59" i="19"/>
  <c r="AY59" i="19"/>
  <c r="AZ59" i="19"/>
  <c r="BA59" i="19"/>
  <c r="BB59" i="19"/>
  <c r="BC59" i="19"/>
  <c r="BD59" i="19"/>
  <c r="BE59" i="19"/>
  <c r="BF59" i="19"/>
  <c r="BG59" i="19"/>
  <c r="BH59" i="19"/>
  <c r="BI59" i="19"/>
  <c r="BJ59" i="19"/>
  <c r="BK59" i="19"/>
  <c r="BL59" i="19"/>
  <c r="BM59" i="19"/>
  <c r="BN59" i="19"/>
  <c r="BO59" i="19"/>
  <c r="BP59" i="19"/>
  <c r="BQ59" i="19"/>
  <c r="BR59" i="19"/>
  <c r="BS59" i="19"/>
  <c r="BT59" i="19"/>
  <c r="BU59" i="19"/>
  <c r="BV59" i="19"/>
  <c r="BW59" i="19"/>
  <c r="BX59" i="19"/>
  <c r="BY59" i="19"/>
  <c r="BZ59" i="19"/>
  <c r="CA59" i="19"/>
  <c r="CB59" i="19"/>
  <c r="CC59" i="19"/>
  <c r="CD59" i="19"/>
  <c r="CE59" i="19"/>
  <c r="CF59" i="19"/>
  <c r="CG59" i="19"/>
  <c r="CH59" i="19"/>
  <c r="CI59" i="19"/>
  <c r="CJ59" i="19"/>
  <c r="CK59" i="19"/>
  <c r="CL59" i="19"/>
  <c r="CM59" i="19"/>
  <c r="CN59" i="19"/>
  <c r="CO59" i="19"/>
  <c r="CP59" i="19"/>
  <c r="CQ59" i="19"/>
  <c r="CR59" i="19"/>
  <c r="CS59" i="19"/>
  <c r="CT59" i="19"/>
  <c r="CU59" i="19"/>
  <c r="CV59" i="19"/>
  <c r="CW59" i="19"/>
  <c r="CX59" i="19"/>
  <c r="CY59" i="19"/>
  <c r="CZ59" i="19"/>
  <c r="DA59" i="19"/>
  <c r="DB59" i="19"/>
  <c r="DC59" i="19"/>
  <c r="DD59" i="19"/>
  <c r="DE59" i="19"/>
  <c r="DF59" i="19"/>
  <c r="DG59" i="19"/>
  <c r="DH59" i="19"/>
  <c r="DI59" i="19"/>
  <c r="DJ59" i="19"/>
  <c r="DK59" i="19"/>
  <c r="DL59" i="19"/>
  <c r="DM59" i="19"/>
  <c r="DN59" i="19"/>
  <c r="DO59" i="19"/>
  <c r="DP59" i="19"/>
  <c r="DQ59" i="19"/>
  <c r="DR59" i="19"/>
  <c r="D60" i="19"/>
  <c r="E60" i="19"/>
  <c r="F60" i="19"/>
  <c r="G60" i="19"/>
  <c r="H60" i="19"/>
  <c r="I60" i="19"/>
  <c r="J60" i="19"/>
  <c r="K60" i="19"/>
  <c r="L60" i="19"/>
  <c r="M60" i="19"/>
  <c r="N60" i="19"/>
  <c r="O60" i="19"/>
  <c r="P60" i="19"/>
  <c r="Q60" i="19"/>
  <c r="R60" i="19"/>
  <c r="S60" i="19"/>
  <c r="T60" i="19"/>
  <c r="U60" i="19"/>
  <c r="V60" i="19"/>
  <c r="W60" i="19"/>
  <c r="X60" i="19"/>
  <c r="Y60" i="19"/>
  <c r="Z60" i="19"/>
  <c r="AA60" i="19"/>
  <c r="AB60" i="19"/>
  <c r="AC60" i="19"/>
  <c r="AD60" i="19"/>
  <c r="AE60" i="19"/>
  <c r="AF60" i="19"/>
  <c r="AG60" i="19"/>
  <c r="AH60" i="19"/>
  <c r="AI60" i="19"/>
  <c r="AJ60" i="19"/>
  <c r="AK60" i="19"/>
  <c r="AL60" i="19"/>
  <c r="AM60" i="19"/>
  <c r="AN60" i="19"/>
  <c r="AO60" i="19"/>
  <c r="AP60" i="19"/>
  <c r="AQ60" i="19"/>
  <c r="AR60" i="19"/>
  <c r="AS60" i="19"/>
  <c r="AT60" i="19"/>
  <c r="AU60" i="19"/>
  <c r="AV60" i="19"/>
  <c r="AW60" i="19"/>
  <c r="AX60" i="19"/>
  <c r="AY60" i="19"/>
  <c r="AZ60" i="19"/>
  <c r="BA60" i="19"/>
  <c r="BB60" i="19"/>
  <c r="BC60" i="19"/>
  <c r="BD60" i="19"/>
  <c r="BE60" i="19"/>
  <c r="BF60" i="19"/>
  <c r="BG60" i="19"/>
  <c r="BH60" i="19"/>
  <c r="BI60" i="19"/>
  <c r="BJ60" i="19"/>
  <c r="BK60" i="19"/>
  <c r="BL60" i="19"/>
  <c r="BM60" i="19"/>
  <c r="BN60" i="19"/>
  <c r="BO60" i="19"/>
  <c r="BP60" i="19"/>
  <c r="BQ60" i="19"/>
  <c r="BR60" i="19"/>
  <c r="BS60" i="19"/>
  <c r="BT60" i="19"/>
  <c r="BU60" i="19"/>
  <c r="BV60" i="19"/>
  <c r="BW60" i="19"/>
  <c r="BX60" i="19"/>
  <c r="BY60" i="19"/>
  <c r="BZ60" i="19"/>
  <c r="CA60" i="19"/>
  <c r="CB60" i="19"/>
  <c r="CC60" i="19"/>
  <c r="CD60" i="19"/>
  <c r="CE60" i="19"/>
  <c r="CF60" i="19"/>
  <c r="CG60" i="19"/>
  <c r="CH60" i="19"/>
  <c r="CI60" i="19"/>
  <c r="CJ60" i="19"/>
  <c r="CK60" i="19"/>
  <c r="CL60" i="19"/>
  <c r="CM60" i="19"/>
  <c r="CN60" i="19"/>
  <c r="CO60" i="19"/>
  <c r="CP60" i="19"/>
  <c r="CQ60" i="19"/>
  <c r="CR60" i="19"/>
  <c r="CS60" i="19"/>
  <c r="CT60" i="19"/>
  <c r="CU60" i="19"/>
  <c r="CV60" i="19"/>
  <c r="CW60" i="19"/>
  <c r="CX60" i="19"/>
  <c r="CY60" i="19"/>
  <c r="CZ60" i="19"/>
  <c r="DA60" i="19"/>
  <c r="DB60" i="19"/>
  <c r="DC60" i="19"/>
  <c r="DD60" i="19"/>
  <c r="DE60" i="19"/>
  <c r="DF60" i="19"/>
  <c r="DG60" i="19"/>
  <c r="DH60" i="19"/>
  <c r="DI60" i="19"/>
  <c r="DJ60" i="19"/>
  <c r="DK60" i="19"/>
  <c r="DL60" i="19"/>
  <c r="DM60" i="19"/>
  <c r="DN60" i="19"/>
  <c r="DO60" i="19"/>
  <c r="DP60" i="19"/>
  <c r="DQ60" i="19"/>
  <c r="DR60" i="19"/>
  <c r="C56" i="19"/>
  <c r="C57" i="19"/>
  <c r="C58" i="19"/>
  <c r="C59" i="19"/>
  <c r="C60" i="19"/>
  <c r="C55" i="19"/>
  <c r="D9" i="19"/>
  <c r="E9" i="19"/>
  <c r="F9" i="19"/>
  <c r="F11" i="19" s="1"/>
  <c r="G9" i="19"/>
  <c r="G11" i="19" s="1"/>
  <c r="H9" i="19"/>
  <c r="I9" i="19"/>
  <c r="J9" i="19"/>
  <c r="J11" i="19" s="1"/>
  <c r="K9" i="19"/>
  <c r="K11" i="19" s="1"/>
  <c r="L9" i="19"/>
  <c r="M9" i="19"/>
  <c r="N9" i="19"/>
  <c r="N11" i="19" s="1"/>
  <c r="O9" i="19"/>
  <c r="O11" i="19" s="1"/>
  <c r="P9" i="19"/>
  <c r="Q9" i="19"/>
  <c r="R9" i="19"/>
  <c r="R11" i="19" s="1"/>
  <c r="S9" i="19"/>
  <c r="S11" i="19" s="1"/>
  <c r="T9" i="19"/>
  <c r="U9" i="19"/>
  <c r="V9" i="19"/>
  <c r="V11" i="19" s="1"/>
  <c r="W9" i="19"/>
  <c r="W11" i="19" s="1"/>
  <c r="X9" i="19"/>
  <c r="Y9" i="19"/>
  <c r="Z9" i="19"/>
  <c r="Z11" i="19" s="1"/>
  <c r="AA9" i="19"/>
  <c r="AA11" i="19" s="1"/>
  <c r="AB9" i="19"/>
  <c r="AC9" i="19"/>
  <c r="AD9" i="19"/>
  <c r="AD11" i="19" s="1"/>
  <c r="AE9" i="19"/>
  <c r="AE11" i="19" s="1"/>
  <c r="AF9" i="19"/>
  <c r="AG9" i="19"/>
  <c r="AH9" i="19"/>
  <c r="AH11" i="19" s="1"/>
  <c r="AI9" i="19"/>
  <c r="AI11" i="19" s="1"/>
  <c r="AJ9" i="19"/>
  <c r="AK9" i="19"/>
  <c r="AL9" i="19"/>
  <c r="AL11" i="19" s="1"/>
  <c r="AM9" i="19"/>
  <c r="AM11" i="19" s="1"/>
  <c r="AN9" i="19"/>
  <c r="AO9" i="19"/>
  <c r="AP9" i="19"/>
  <c r="AP11" i="19" s="1"/>
  <c r="AQ9" i="19"/>
  <c r="AQ11" i="19" s="1"/>
  <c r="AR9" i="19"/>
  <c r="AS9" i="19"/>
  <c r="AT9" i="19"/>
  <c r="AT11" i="19" s="1"/>
  <c r="AU9" i="19"/>
  <c r="AU11" i="19" s="1"/>
  <c r="AV9" i="19"/>
  <c r="AW9" i="19"/>
  <c r="AX9" i="19"/>
  <c r="AX11" i="19" s="1"/>
  <c r="AY9" i="19"/>
  <c r="AY11" i="19" s="1"/>
  <c r="AZ9" i="19"/>
  <c r="BA9" i="19"/>
  <c r="BB9" i="19"/>
  <c r="BB11" i="19" s="1"/>
  <c r="BC9" i="19"/>
  <c r="BC11" i="19" s="1"/>
  <c r="BD9" i="19"/>
  <c r="BE9" i="19"/>
  <c r="BF9" i="19"/>
  <c r="BF11" i="19" s="1"/>
  <c r="BG9" i="19"/>
  <c r="BG11" i="19" s="1"/>
  <c r="BH9" i="19"/>
  <c r="BI9" i="19"/>
  <c r="BJ9" i="19"/>
  <c r="BJ11" i="19" s="1"/>
  <c r="BK9" i="19"/>
  <c r="BK11" i="19" s="1"/>
  <c r="BL9" i="19"/>
  <c r="BM9" i="19"/>
  <c r="BN9" i="19"/>
  <c r="BN11" i="19" s="1"/>
  <c r="BO9" i="19"/>
  <c r="BO11" i="19" s="1"/>
  <c r="BP9" i="19"/>
  <c r="BQ9" i="19"/>
  <c r="BR9" i="19"/>
  <c r="BR11" i="19" s="1"/>
  <c r="BS9" i="19"/>
  <c r="BS11" i="19" s="1"/>
  <c r="BT9" i="19"/>
  <c r="BU9" i="19"/>
  <c r="BV9" i="19"/>
  <c r="BV11" i="19" s="1"/>
  <c r="BW9" i="19"/>
  <c r="BW11" i="19" s="1"/>
  <c r="BX9" i="19"/>
  <c r="BY9" i="19"/>
  <c r="BZ9" i="19"/>
  <c r="BZ11" i="19" s="1"/>
  <c r="CA9" i="19"/>
  <c r="CA11" i="19" s="1"/>
  <c r="CB9" i="19"/>
  <c r="CC9" i="19"/>
  <c r="CD9" i="19"/>
  <c r="CD11" i="19" s="1"/>
  <c r="CE9" i="19"/>
  <c r="CE11" i="19" s="1"/>
  <c r="CF9" i="19"/>
  <c r="CG9" i="19"/>
  <c r="CH9" i="19"/>
  <c r="CH11" i="19" s="1"/>
  <c r="CI9" i="19"/>
  <c r="CI11" i="19" s="1"/>
  <c r="CJ9" i="19"/>
  <c r="CK9" i="19"/>
  <c r="CL9" i="19"/>
  <c r="CL11" i="19" s="1"/>
  <c r="CM9" i="19"/>
  <c r="CM11" i="19" s="1"/>
  <c r="CN9" i="19"/>
  <c r="CO9" i="19"/>
  <c r="CP9" i="19"/>
  <c r="CP11" i="19" s="1"/>
  <c r="CQ9" i="19"/>
  <c r="CQ11" i="19" s="1"/>
  <c r="CR9" i="19"/>
  <c r="CS9" i="19"/>
  <c r="CT9" i="19"/>
  <c r="CT11" i="19" s="1"/>
  <c r="CU9" i="19"/>
  <c r="CU11" i="19" s="1"/>
  <c r="CV9" i="19"/>
  <c r="CW9" i="19"/>
  <c r="CX9" i="19"/>
  <c r="CX11" i="19" s="1"/>
  <c r="CY9" i="19"/>
  <c r="CY11" i="19" s="1"/>
  <c r="CZ9" i="19"/>
  <c r="DA9" i="19"/>
  <c r="DB9" i="19"/>
  <c r="DB11" i="19" s="1"/>
  <c r="DC9" i="19"/>
  <c r="DC11" i="19" s="1"/>
  <c r="DD9" i="19"/>
  <c r="DE9" i="19"/>
  <c r="DF9" i="19"/>
  <c r="DF11" i="19" s="1"/>
  <c r="DG9" i="19"/>
  <c r="DG11" i="19" s="1"/>
  <c r="DH9" i="19"/>
  <c r="DI9" i="19"/>
  <c r="DJ9" i="19"/>
  <c r="DJ11" i="19" s="1"/>
  <c r="DK9" i="19"/>
  <c r="DK11" i="19" s="1"/>
  <c r="DL9" i="19"/>
  <c r="DM9" i="19"/>
  <c r="DN9" i="19"/>
  <c r="DN11" i="19" s="1"/>
  <c r="DO9" i="19"/>
  <c r="DO11" i="19" s="1"/>
  <c r="DP9" i="19"/>
  <c r="DQ9" i="19"/>
  <c r="DR9" i="19"/>
  <c r="DR11" i="19" s="1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AX10" i="19"/>
  <c r="AY10" i="19"/>
  <c r="AZ10" i="19"/>
  <c r="BA10" i="19"/>
  <c r="BB10" i="19"/>
  <c r="BC10" i="19"/>
  <c r="BD10" i="19"/>
  <c r="BE10" i="19"/>
  <c r="BF10" i="19"/>
  <c r="BG10" i="19"/>
  <c r="BH10" i="19"/>
  <c r="BI10" i="19"/>
  <c r="BJ10" i="19"/>
  <c r="BK10" i="19"/>
  <c r="BL10" i="19"/>
  <c r="BM10" i="19"/>
  <c r="BN10" i="19"/>
  <c r="BO10" i="19"/>
  <c r="BP10" i="19"/>
  <c r="BQ10" i="19"/>
  <c r="BR10" i="19"/>
  <c r="BS10" i="19"/>
  <c r="BT10" i="19"/>
  <c r="BU10" i="19"/>
  <c r="BV10" i="19"/>
  <c r="BW10" i="19"/>
  <c r="BX10" i="19"/>
  <c r="BY10" i="19"/>
  <c r="BZ10" i="19"/>
  <c r="CA10" i="19"/>
  <c r="CB10" i="19"/>
  <c r="CC10" i="19"/>
  <c r="CD10" i="19"/>
  <c r="CE10" i="19"/>
  <c r="CF10" i="19"/>
  <c r="CG10" i="19"/>
  <c r="CH10" i="19"/>
  <c r="CI10" i="19"/>
  <c r="CJ10" i="19"/>
  <c r="CK10" i="19"/>
  <c r="CL10" i="19"/>
  <c r="CM10" i="19"/>
  <c r="CN10" i="19"/>
  <c r="CO10" i="19"/>
  <c r="CP10" i="19"/>
  <c r="CQ10" i="19"/>
  <c r="CR10" i="19"/>
  <c r="CS10" i="19"/>
  <c r="CT10" i="19"/>
  <c r="CU10" i="19"/>
  <c r="CV10" i="19"/>
  <c r="CW10" i="19"/>
  <c r="CX10" i="19"/>
  <c r="CY10" i="19"/>
  <c r="CZ10" i="19"/>
  <c r="DA10" i="19"/>
  <c r="DB10" i="19"/>
  <c r="DC10" i="19"/>
  <c r="DD10" i="19"/>
  <c r="DE10" i="19"/>
  <c r="DF10" i="19"/>
  <c r="DG10" i="19"/>
  <c r="DH10" i="19"/>
  <c r="DI10" i="19"/>
  <c r="DJ10" i="19"/>
  <c r="DK10" i="19"/>
  <c r="DL10" i="19"/>
  <c r="DM10" i="19"/>
  <c r="DN10" i="19"/>
  <c r="DO10" i="19"/>
  <c r="DP10" i="19"/>
  <c r="DQ10" i="19"/>
  <c r="DR10" i="19"/>
  <c r="C10" i="19"/>
  <c r="C9" i="19"/>
  <c r="C5" i="19"/>
  <c r="G5" i="19" s="1"/>
  <c r="DQ11" i="19"/>
  <c r="DP11" i="19"/>
  <c r="DM11" i="19"/>
  <c r="DL11" i="19"/>
  <c r="DI11" i="19"/>
  <c r="DH11" i="19"/>
  <c r="DE11" i="19"/>
  <c r="DD11" i="19"/>
  <c r="DA11" i="19"/>
  <c r="CZ11" i="19"/>
  <c r="CW11" i="19"/>
  <c r="CV11" i="19"/>
  <c r="CS11" i="19"/>
  <c r="CR11" i="19"/>
  <c r="CO11" i="19"/>
  <c r="CN11" i="19"/>
  <c r="CK11" i="19"/>
  <c r="CJ11" i="19"/>
  <c r="CG11" i="19"/>
  <c r="CF11" i="19"/>
  <c r="CC11" i="19"/>
  <c r="CB11" i="19"/>
  <c r="BY11" i="19"/>
  <c r="BX11" i="19"/>
  <c r="BU11" i="19"/>
  <c r="BT11" i="19"/>
  <c r="BQ11" i="19"/>
  <c r="BP11" i="19"/>
  <c r="BM11" i="19"/>
  <c r="BL11" i="19"/>
  <c r="BI11" i="19"/>
  <c r="BH11" i="19"/>
  <c r="BE11" i="19"/>
  <c r="BD11" i="19"/>
  <c r="BA11" i="19"/>
  <c r="AZ11" i="19"/>
  <c r="AW11" i="19"/>
  <c r="AV11" i="19"/>
  <c r="AS11" i="19"/>
  <c r="AR11" i="19"/>
  <c r="AO11" i="19"/>
  <c r="AN11" i="19"/>
  <c r="AK11" i="19"/>
  <c r="AJ11" i="19"/>
  <c r="AG11" i="19"/>
  <c r="AF11" i="19"/>
  <c r="AC11" i="19"/>
  <c r="AB11" i="19"/>
  <c r="Y11" i="19"/>
  <c r="X11" i="19"/>
  <c r="U11" i="19"/>
  <c r="T11" i="19"/>
  <c r="Q11" i="19"/>
  <c r="P11" i="19"/>
  <c r="M11" i="19"/>
  <c r="L11" i="19"/>
  <c r="I11" i="19"/>
  <c r="H11" i="19"/>
  <c r="E11" i="19"/>
  <c r="D11" i="19"/>
  <c r="C12" i="19"/>
  <c r="D12" i="19" s="1"/>
  <c r="E12" i="19" s="1"/>
  <c r="F56" i="4"/>
  <c r="C10" i="13"/>
  <c r="C9" i="13"/>
  <c r="C8" i="13"/>
  <c r="F53" i="2"/>
  <c r="G53" i="2" s="1"/>
  <c r="H53" i="2" s="1"/>
  <c r="I53" i="2" s="1"/>
  <c r="J53" i="2" s="1"/>
  <c r="K53" i="2" s="1"/>
  <c r="L53" i="2" s="1"/>
  <c r="M53" i="2" s="1"/>
  <c r="N53" i="2" s="1"/>
  <c r="O53" i="2" s="1"/>
  <c r="F42" i="2"/>
  <c r="G42" i="2" s="1"/>
  <c r="H42" i="2" s="1"/>
  <c r="I42" i="2" s="1"/>
  <c r="J42" i="2" s="1"/>
  <c r="K42" i="2" s="1"/>
  <c r="L42" i="2" s="1"/>
  <c r="M42" i="2" s="1"/>
  <c r="N42" i="2" s="1"/>
  <c r="O42" i="2" s="1"/>
  <c r="F73" i="5"/>
  <c r="F65" i="5"/>
  <c r="F57" i="5"/>
  <c r="F49" i="5"/>
  <c r="F41" i="5"/>
  <c r="F33" i="5"/>
  <c r="F25" i="5"/>
  <c r="F17" i="5"/>
  <c r="F9" i="5"/>
  <c r="D45" i="19"/>
  <c r="D46" i="19" s="1"/>
  <c r="D47" i="19" s="1"/>
  <c r="E45" i="19"/>
  <c r="E46" i="19" s="1"/>
  <c r="E47" i="19" s="1"/>
  <c r="F45" i="19"/>
  <c r="G45" i="19"/>
  <c r="G46" i="19" s="1"/>
  <c r="H45" i="19"/>
  <c r="I45" i="19"/>
  <c r="I46" i="19" s="1"/>
  <c r="J45" i="19"/>
  <c r="J46" i="19" s="1"/>
  <c r="K45" i="19"/>
  <c r="L45" i="19"/>
  <c r="M45" i="19"/>
  <c r="M46" i="19" s="1"/>
  <c r="M47" i="19" s="1"/>
  <c r="N45" i="19"/>
  <c r="N46" i="19" s="1"/>
  <c r="O45" i="19"/>
  <c r="O46" i="19" s="1"/>
  <c r="P45" i="19"/>
  <c r="Q45" i="19"/>
  <c r="Q46" i="19" s="1"/>
  <c r="R45" i="19"/>
  <c r="R46" i="19" s="1"/>
  <c r="S45" i="19"/>
  <c r="S46" i="19" s="1"/>
  <c r="S47" i="19" s="1"/>
  <c r="T45" i="19"/>
  <c r="T46" i="19" s="1"/>
  <c r="T47" i="19" s="1"/>
  <c r="U45" i="19"/>
  <c r="U46" i="19" s="1"/>
  <c r="V45" i="19"/>
  <c r="V46" i="19" s="1"/>
  <c r="W45" i="19"/>
  <c r="W46" i="19" s="1"/>
  <c r="X45" i="19"/>
  <c r="X46" i="19" s="1"/>
  <c r="X47" i="19" s="1"/>
  <c r="Y45" i="19"/>
  <c r="Y46" i="19" s="1"/>
  <c r="Z45" i="19"/>
  <c r="Z46" i="19" s="1"/>
  <c r="AA45" i="19"/>
  <c r="AB45" i="19"/>
  <c r="AC45" i="19"/>
  <c r="AC46" i="19" s="1"/>
  <c r="AC47" i="19" s="1"/>
  <c r="AD45" i="19"/>
  <c r="AE45" i="19"/>
  <c r="AE46" i="19" s="1"/>
  <c r="AF45" i="19"/>
  <c r="AG45" i="19"/>
  <c r="AG46" i="19" s="1"/>
  <c r="AH45" i="19"/>
  <c r="AH46" i="19" s="1"/>
  <c r="AI45" i="19"/>
  <c r="AI46" i="19" s="1"/>
  <c r="AI47" i="19" s="1"/>
  <c r="AJ45" i="19"/>
  <c r="AJ46" i="19" s="1"/>
  <c r="AJ47" i="19" s="1"/>
  <c r="AK45" i="19"/>
  <c r="AK46" i="19" s="1"/>
  <c r="AL45" i="19"/>
  <c r="AL46" i="19" s="1"/>
  <c r="AM45" i="19"/>
  <c r="AM46" i="19" s="1"/>
  <c r="AN45" i="19"/>
  <c r="AO45" i="19"/>
  <c r="AO46" i="19" s="1"/>
  <c r="AP45" i="19"/>
  <c r="AQ45" i="19"/>
  <c r="AR45" i="19"/>
  <c r="AR46" i="19" s="1"/>
  <c r="AR47" i="19" s="1"/>
  <c r="AS45" i="19"/>
  <c r="AS46" i="19" s="1"/>
  <c r="AS47" i="19" s="1"/>
  <c r="AT45" i="19"/>
  <c r="AU45" i="19"/>
  <c r="AU46" i="19" s="1"/>
  <c r="AV45" i="19"/>
  <c r="AW45" i="19"/>
  <c r="AW46" i="19" s="1"/>
  <c r="AX45" i="19"/>
  <c r="AX46" i="19" s="1"/>
  <c r="AY45" i="19"/>
  <c r="AY46" i="19" s="1"/>
  <c r="AY47" i="19" s="1"/>
  <c r="AZ45" i="19"/>
  <c r="AZ46" i="19" s="1"/>
  <c r="AZ47" i="19" s="1"/>
  <c r="BA45" i="19"/>
  <c r="BA46" i="19" s="1"/>
  <c r="BB45" i="19"/>
  <c r="BB46" i="19" s="1"/>
  <c r="BC45" i="19"/>
  <c r="BC46" i="19" s="1"/>
  <c r="BD45" i="19"/>
  <c r="BE45" i="19"/>
  <c r="BE46" i="19" s="1"/>
  <c r="BF45" i="19"/>
  <c r="BG45" i="19"/>
  <c r="BH45" i="19"/>
  <c r="BI45" i="19"/>
  <c r="BI46" i="19" s="1"/>
  <c r="BI47" i="19" s="1"/>
  <c r="BJ45" i="19"/>
  <c r="BJ46" i="19" s="1"/>
  <c r="BK45" i="19"/>
  <c r="BK46" i="19" s="1"/>
  <c r="BL45" i="19"/>
  <c r="BL46" i="19" s="1"/>
  <c r="BL47" i="19" s="1"/>
  <c r="BM45" i="19"/>
  <c r="BM46" i="19" s="1"/>
  <c r="BN45" i="19"/>
  <c r="BN46" i="19" s="1"/>
  <c r="BO45" i="19"/>
  <c r="BO46" i="19" s="1"/>
  <c r="BO47" i="19" s="1"/>
  <c r="BP45" i="19"/>
  <c r="BP46" i="19" s="1"/>
  <c r="BP47" i="19" s="1"/>
  <c r="BQ45" i="19"/>
  <c r="BQ46" i="19" s="1"/>
  <c r="BR45" i="19"/>
  <c r="BR46" i="19" s="1"/>
  <c r="BS45" i="19"/>
  <c r="BS46" i="19" s="1"/>
  <c r="BT45" i="19"/>
  <c r="BU45" i="19"/>
  <c r="BU46" i="19" s="1"/>
  <c r="BV45" i="19"/>
  <c r="BV46" i="19" s="1"/>
  <c r="BW45" i="19"/>
  <c r="BX45" i="19"/>
  <c r="BY45" i="19"/>
  <c r="BY46" i="19" s="1"/>
  <c r="BY47" i="19" s="1"/>
  <c r="BZ45" i="19"/>
  <c r="BZ46" i="19" s="1"/>
  <c r="CA45" i="19"/>
  <c r="CA46" i="19" s="1"/>
  <c r="CB45" i="19"/>
  <c r="CC45" i="19"/>
  <c r="CC46" i="19" s="1"/>
  <c r="CD45" i="19"/>
  <c r="CD46" i="19" s="1"/>
  <c r="CE45" i="19"/>
  <c r="CE46" i="19" s="1"/>
  <c r="CE47" i="19" s="1"/>
  <c r="CF45" i="19"/>
  <c r="CF46" i="19" s="1"/>
  <c r="CF47" i="19" s="1"/>
  <c r="CG45" i="19"/>
  <c r="CG46" i="19" s="1"/>
  <c r="CH45" i="19"/>
  <c r="CH46" i="19" s="1"/>
  <c r="CI45" i="19"/>
  <c r="CI46" i="19" s="1"/>
  <c r="CJ45" i="19"/>
  <c r="CJ46" i="19" s="1"/>
  <c r="CJ47" i="19" s="1"/>
  <c r="CK45" i="19"/>
  <c r="CK46" i="19" s="1"/>
  <c r="CL45" i="19"/>
  <c r="CL46" i="19" s="1"/>
  <c r="CM45" i="19"/>
  <c r="CN45" i="19"/>
  <c r="CO45" i="19"/>
  <c r="CO46" i="19" s="1"/>
  <c r="CO47" i="19" s="1"/>
  <c r="CP45" i="19"/>
  <c r="CQ45" i="19"/>
  <c r="CQ46" i="19" s="1"/>
  <c r="CR45" i="19"/>
  <c r="CS45" i="19"/>
  <c r="CS46" i="19" s="1"/>
  <c r="CT45" i="19"/>
  <c r="CT46" i="19" s="1"/>
  <c r="CU45" i="19"/>
  <c r="CU46" i="19" s="1"/>
  <c r="CU47" i="19" s="1"/>
  <c r="CV45" i="19"/>
  <c r="CV46" i="19" s="1"/>
  <c r="CV47" i="19" s="1"/>
  <c r="CW45" i="19"/>
  <c r="CW46" i="19" s="1"/>
  <c r="CX45" i="19"/>
  <c r="CX46" i="19" s="1"/>
  <c r="CY45" i="19"/>
  <c r="CY46" i="19" s="1"/>
  <c r="CZ45" i="19"/>
  <c r="DA45" i="19"/>
  <c r="DA46" i="19" s="1"/>
  <c r="DB45" i="19"/>
  <c r="DB46" i="19" s="1"/>
  <c r="DB47" i="19" s="1"/>
  <c r="DC45" i="19"/>
  <c r="DD45" i="19"/>
  <c r="DD46" i="19" s="1"/>
  <c r="DD47" i="19" s="1"/>
  <c r="DE45" i="19"/>
  <c r="DE46" i="19" s="1"/>
  <c r="DE47" i="19" s="1"/>
  <c r="DF45" i="19"/>
  <c r="DG45" i="19"/>
  <c r="DG46" i="19" s="1"/>
  <c r="DH45" i="19"/>
  <c r="DI45" i="19"/>
  <c r="DI46" i="19" s="1"/>
  <c r="DJ45" i="19"/>
  <c r="DJ46" i="19" s="1"/>
  <c r="DK45" i="19"/>
  <c r="DK46" i="19" s="1"/>
  <c r="DK47" i="19" s="1"/>
  <c r="DL45" i="19"/>
  <c r="DL46" i="19" s="1"/>
  <c r="DL47" i="19" s="1"/>
  <c r="DM45" i="19"/>
  <c r="DM46" i="19" s="1"/>
  <c r="DN45" i="19"/>
  <c r="DN46" i="19" s="1"/>
  <c r="DO45" i="19"/>
  <c r="DO46" i="19" s="1"/>
  <c r="DP45" i="19"/>
  <c r="DQ45" i="19"/>
  <c r="DQ46" i="19" s="1"/>
  <c r="DR45" i="19"/>
  <c r="DR46" i="19" s="1"/>
  <c r="DR47" i="19" s="1"/>
  <c r="H46" i="19"/>
  <c r="H47" i="19" s="1"/>
  <c r="L46" i="19"/>
  <c r="L47" i="19" s="1"/>
  <c r="P46" i="19"/>
  <c r="P47" i="19" s="1"/>
  <c r="AB46" i="19"/>
  <c r="AB47" i="19" s="1"/>
  <c r="AF46" i="19"/>
  <c r="AF47" i="19" s="1"/>
  <c r="AN46" i="19"/>
  <c r="AN47" i="19" s="1"/>
  <c r="AV46" i="19"/>
  <c r="AV47" i="19" s="1"/>
  <c r="BD46" i="19"/>
  <c r="BD47" i="19" s="1"/>
  <c r="BH46" i="19"/>
  <c r="BH47" i="19" s="1"/>
  <c r="BT46" i="19"/>
  <c r="BT47" i="19" s="1"/>
  <c r="BX46" i="19"/>
  <c r="BX47" i="19" s="1"/>
  <c r="CB46" i="19"/>
  <c r="CB47" i="19" s="1"/>
  <c r="CN46" i="19"/>
  <c r="CN47" i="19" s="1"/>
  <c r="CR46" i="19"/>
  <c r="CR47" i="19" s="1"/>
  <c r="CZ46" i="19"/>
  <c r="CZ47" i="19" s="1"/>
  <c r="DH46" i="19"/>
  <c r="DH47" i="19" s="1"/>
  <c r="DP46" i="19"/>
  <c r="DP47" i="19" s="1"/>
  <c r="C45" i="19"/>
  <c r="C48" i="19" s="1"/>
  <c r="G41" i="19"/>
  <c r="BK21" i="19"/>
  <c r="BL21" i="19"/>
  <c r="BM21" i="19"/>
  <c r="BN21" i="19"/>
  <c r="BO21" i="19"/>
  <c r="BP21" i="19"/>
  <c r="BQ21" i="19"/>
  <c r="BR21" i="19"/>
  <c r="BS21" i="19"/>
  <c r="BT21" i="19"/>
  <c r="BU21" i="19"/>
  <c r="BV21" i="19"/>
  <c r="BW21" i="19"/>
  <c r="BX21" i="19"/>
  <c r="BY21" i="19"/>
  <c r="BZ21" i="19"/>
  <c r="CA21" i="19"/>
  <c r="CB21" i="19"/>
  <c r="CC21" i="19"/>
  <c r="CD21" i="19"/>
  <c r="CE21" i="19"/>
  <c r="CF21" i="19"/>
  <c r="CG21" i="19"/>
  <c r="CH21" i="19"/>
  <c r="CI21" i="19"/>
  <c r="CJ21" i="19"/>
  <c r="CK21" i="19"/>
  <c r="CL21" i="19"/>
  <c r="CM21" i="19"/>
  <c r="CN21" i="19"/>
  <c r="CO21" i="19"/>
  <c r="CP21" i="19"/>
  <c r="CQ21" i="19"/>
  <c r="CR21" i="19"/>
  <c r="CS21" i="19"/>
  <c r="CT21" i="19"/>
  <c r="CU21" i="19"/>
  <c r="CV21" i="19"/>
  <c r="CW21" i="19"/>
  <c r="CX21" i="19"/>
  <c r="CY21" i="19"/>
  <c r="CZ21" i="19"/>
  <c r="DA21" i="19"/>
  <c r="DB21" i="19"/>
  <c r="DC21" i="19"/>
  <c r="DD21" i="19"/>
  <c r="DE21" i="19"/>
  <c r="DF21" i="19"/>
  <c r="DG21" i="19"/>
  <c r="DH21" i="19"/>
  <c r="DI21" i="19"/>
  <c r="DJ21" i="19"/>
  <c r="DK21" i="19"/>
  <c r="DL21" i="19"/>
  <c r="DM21" i="19"/>
  <c r="DN21" i="19"/>
  <c r="DO21" i="19"/>
  <c r="DP21" i="19"/>
  <c r="DQ21" i="19"/>
  <c r="DR21" i="19"/>
  <c r="BK22" i="19"/>
  <c r="BL22" i="19"/>
  <c r="BM22" i="19"/>
  <c r="BN22" i="19"/>
  <c r="BO22" i="19"/>
  <c r="BP22" i="19"/>
  <c r="BQ22" i="19"/>
  <c r="BR22" i="19"/>
  <c r="BS22" i="19"/>
  <c r="BT22" i="19"/>
  <c r="BU22" i="19"/>
  <c r="BV22" i="19"/>
  <c r="BW22" i="19"/>
  <c r="BX22" i="19"/>
  <c r="BY22" i="19"/>
  <c r="BZ22" i="19"/>
  <c r="CA22" i="19"/>
  <c r="CB22" i="19"/>
  <c r="CC22" i="19"/>
  <c r="CD22" i="19"/>
  <c r="CE22" i="19"/>
  <c r="CF22" i="19"/>
  <c r="CG22" i="19"/>
  <c r="CH22" i="19"/>
  <c r="CI22" i="19"/>
  <c r="CJ22" i="19"/>
  <c r="CK22" i="19"/>
  <c r="CL22" i="19"/>
  <c r="CM22" i="19"/>
  <c r="CN22" i="19"/>
  <c r="CO22" i="19"/>
  <c r="CP22" i="19"/>
  <c r="CQ22" i="19"/>
  <c r="CR22" i="19"/>
  <c r="CS22" i="19"/>
  <c r="CT22" i="19"/>
  <c r="CU22" i="19"/>
  <c r="CV22" i="19"/>
  <c r="CW22" i="19"/>
  <c r="CX22" i="19"/>
  <c r="CY22" i="19"/>
  <c r="CZ22" i="19"/>
  <c r="DA22" i="19"/>
  <c r="DB22" i="19"/>
  <c r="DC22" i="19"/>
  <c r="DD22" i="19"/>
  <c r="DE22" i="19"/>
  <c r="DF22" i="19"/>
  <c r="DG22" i="19"/>
  <c r="DH22" i="19"/>
  <c r="DI22" i="19"/>
  <c r="DJ22" i="19"/>
  <c r="DK22" i="19"/>
  <c r="DL22" i="19"/>
  <c r="DM22" i="19"/>
  <c r="DN22" i="19"/>
  <c r="DO22" i="19"/>
  <c r="DP22" i="19"/>
  <c r="DQ22" i="19"/>
  <c r="DR22" i="19"/>
  <c r="BK23" i="19"/>
  <c r="BL23" i="19"/>
  <c r="CI23" i="19"/>
  <c r="CJ23" i="19"/>
  <c r="CV23" i="19"/>
  <c r="DP23" i="19"/>
  <c r="C32" i="19"/>
  <c r="C34" i="19" s="1"/>
  <c r="G29" i="19"/>
  <c r="G17" i="19"/>
  <c r="G26" i="20" l="1"/>
  <c r="G25" i="20"/>
  <c r="G48" i="20"/>
  <c r="F47" i="20"/>
  <c r="F41" i="20"/>
  <c r="G33" i="20"/>
  <c r="G34" i="20"/>
  <c r="G13" i="20"/>
  <c r="H13" i="20" s="1"/>
  <c r="I13" i="20" s="1"/>
  <c r="J13" i="20" s="1"/>
  <c r="H16" i="20"/>
  <c r="H15" i="20"/>
  <c r="I15" i="20" s="1"/>
  <c r="H14" i="20"/>
  <c r="I14" i="20" s="1"/>
  <c r="J14" i="20" s="1"/>
  <c r="F12" i="19"/>
  <c r="G12" i="19" s="1"/>
  <c r="H12" i="19" s="1"/>
  <c r="I12" i="19" s="1"/>
  <c r="J12" i="19" s="1"/>
  <c r="K12" i="19" s="1"/>
  <c r="L12" i="19" s="1"/>
  <c r="M12" i="19" s="1"/>
  <c r="N12" i="19" s="1"/>
  <c r="O12" i="19" s="1"/>
  <c r="P12" i="19" s="1"/>
  <c r="Q12" i="19" s="1"/>
  <c r="R12" i="19" s="1"/>
  <c r="S12" i="19" s="1"/>
  <c r="T12" i="19" s="1"/>
  <c r="U12" i="19" s="1"/>
  <c r="V12" i="19" s="1"/>
  <c r="W12" i="19" s="1"/>
  <c r="X12" i="19" s="1"/>
  <c r="Y12" i="19" s="1"/>
  <c r="Z12" i="19" s="1"/>
  <c r="AA12" i="19" s="1"/>
  <c r="AB12" i="19" s="1"/>
  <c r="AC12" i="19" s="1"/>
  <c r="AD12" i="19" s="1"/>
  <c r="AE12" i="19" s="1"/>
  <c r="AF12" i="19" s="1"/>
  <c r="AG12" i="19" s="1"/>
  <c r="AH12" i="19" s="1"/>
  <c r="AI12" i="19" s="1"/>
  <c r="AJ12" i="19" s="1"/>
  <c r="AK12" i="19" s="1"/>
  <c r="AL12" i="19" s="1"/>
  <c r="AM12" i="19" s="1"/>
  <c r="AN12" i="19" s="1"/>
  <c r="AO12" i="19" s="1"/>
  <c r="AP12" i="19" s="1"/>
  <c r="AQ12" i="19" s="1"/>
  <c r="AR12" i="19" s="1"/>
  <c r="AS12" i="19" s="1"/>
  <c r="AT12" i="19" s="1"/>
  <c r="AU12" i="19" s="1"/>
  <c r="AV12" i="19" s="1"/>
  <c r="AW12" i="19" s="1"/>
  <c r="AX12" i="19" s="1"/>
  <c r="AY12" i="19" s="1"/>
  <c r="AZ12" i="19" s="1"/>
  <c r="BA12" i="19" s="1"/>
  <c r="BB12" i="19" s="1"/>
  <c r="BC12" i="19" s="1"/>
  <c r="BD12" i="19" s="1"/>
  <c r="BE12" i="19" s="1"/>
  <c r="BF12" i="19" s="1"/>
  <c r="BG12" i="19" s="1"/>
  <c r="BH12" i="19" s="1"/>
  <c r="BI12" i="19" s="1"/>
  <c r="BJ12" i="19" s="1"/>
  <c r="BK12" i="19" s="1"/>
  <c r="BL12" i="19" s="1"/>
  <c r="BM12" i="19" s="1"/>
  <c r="BN12" i="19" s="1"/>
  <c r="BO12" i="19" s="1"/>
  <c r="BP12" i="19" s="1"/>
  <c r="BQ12" i="19" s="1"/>
  <c r="BR12" i="19" s="1"/>
  <c r="BS12" i="19" s="1"/>
  <c r="BT12" i="19" s="1"/>
  <c r="BU12" i="19" s="1"/>
  <c r="BV12" i="19" s="1"/>
  <c r="BW12" i="19" s="1"/>
  <c r="BX12" i="19" s="1"/>
  <c r="BY12" i="19" s="1"/>
  <c r="BZ12" i="19" s="1"/>
  <c r="CA12" i="19" s="1"/>
  <c r="CB12" i="19" s="1"/>
  <c r="CC12" i="19" s="1"/>
  <c r="CD12" i="19" s="1"/>
  <c r="CE12" i="19" s="1"/>
  <c r="CF12" i="19" s="1"/>
  <c r="CG12" i="19" s="1"/>
  <c r="CH12" i="19" s="1"/>
  <c r="CI12" i="19" s="1"/>
  <c r="CJ12" i="19" s="1"/>
  <c r="CK12" i="19" s="1"/>
  <c r="CL12" i="19" s="1"/>
  <c r="CM12" i="19" s="1"/>
  <c r="CN12" i="19" s="1"/>
  <c r="CO12" i="19" s="1"/>
  <c r="CP12" i="19" s="1"/>
  <c r="CQ12" i="19" s="1"/>
  <c r="CR12" i="19" s="1"/>
  <c r="CS12" i="19" s="1"/>
  <c r="CT12" i="19" s="1"/>
  <c r="CU12" i="19" s="1"/>
  <c r="CV12" i="19" s="1"/>
  <c r="CW12" i="19" s="1"/>
  <c r="CX12" i="19" s="1"/>
  <c r="CY12" i="19" s="1"/>
  <c r="CZ12" i="19" s="1"/>
  <c r="DA12" i="19" s="1"/>
  <c r="DB12" i="19" s="1"/>
  <c r="DC12" i="19" s="1"/>
  <c r="DD12" i="19" s="1"/>
  <c r="DE12" i="19" s="1"/>
  <c r="DF12" i="19" s="1"/>
  <c r="DG12" i="19" s="1"/>
  <c r="DH12" i="19" s="1"/>
  <c r="DI12" i="19" s="1"/>
  <c r="DJ12" i="19" s="1"/>
  <c r="DK12" i="19" s="1"/>
  <c r="DL12" i="19" s="1"/>
  <c r="DM12" i="19" s="1"/>
  <c r="DN12" i="19" s="1"/>
  <c r="DO12" i="19" s="1"/>
  <c r="DP12" i="19" s="1"/>
  <c r="DQ12" i="19" s="1"/>
  <c r="DR12" i="19" s="1"/>
  <c r="CA23" i="19"/>
  <c r="Y47" i="19"/>
  <c r="DL23" i="19"/>
  <c r="DD23" i="19"/>
  <c r="CZ23" i="19"/>
  <c r="CR23" i="19"/>
  <c r="CN23" i="19"/>
  <c r="CF23" i="19"/>
  <c r="CB23" i="19"/>
  <c r="BX23" i="19"/>
  <c r="BT23" i="19"/>
  <c r="BP23" i="19"/>
  <c r="CG47" i="19"/>
  <c r="C13" i="19"/>
  <c r="C14" i="19" s="1"/>
  <c r="C11" i="19"/>
  <c r="AK47" i="19"/>
  <c r="CS47" i="19"/>
  <c r="CQ23" i="19"/>
  <c r="BE47" i="19"/>
  <c r="CW47" i="19"/>
  <c r="U47" i="19"/>
  <c r="CC47" i="19"/>
  <c r="DF46" i="19"/>
  <c r="DF47" i="19" s="1"/>
  <c r="CP46" i="19"/>
  <c r="CP47" i="19" s="1"/>
  <c r="AT46" i="19"/>
  <c r="AT47" i="19" s="1"/>
  <c r="DK23" i="19"/>
  <c r="DC23" i="19"/>
  <c r="DO23" i="19"/>
  <c r="DG23" i="19"/>
  <c r="BO23" i="19"/>
  <c r="BF46" i="19"/>
  <c r="BF47" i="19" s="1"/>
  <c r="AP46" i="19"/>
  <c r="AP47" i="19" s="1"/>
  <c r="AD46" i="19"/>
  <c r="AD47" i="19" s="1"/>
  <c r="CU23" i="19"/>
  <c r="CM23" i="19"/>
  <c r="CE23" i="19"/>
  <c r="BW23" i="19"/>
  <c r="CY23" i="19"/>
  <c r="BS23" i="19"/>
  <c r="I47" i="19"/>
  <c r="BQ47" i="19"/>
  <c r="CK47" i="19"/>
  <c r="DI47" i="19"/>
  <c r="DH23" i="19"/>
  <c r="Q47" i="19"/>
  <c r="AG47" i="19"/>
  <c r="AW47" i="19"/>
  <c r="BU47" i="19"/>
  <c r="DM47" i="19"/>
  <c r="F81" i="5"/>
  <c r="DC46" i="19"/>
  <c r="DN47" i="19"/>
  <c r="J47" i="19"/>
  <c r="BJ47" i="19"/>
  <c r="BV47" i="19"/>
  <c r="C46" i="19"/>
  <c r="C47" i="19" s="1"/>
  <c r="N47" i="19"/>
  <c r="Z47" i="19"/>
  <c r="AO47" i="19"/>
  <c r="BA47" i="19"/>
  <c r="BM47" i="19"/>
  <c r="BZ47" i="19"/>
  <c r="CL47" i="19"/>
  <c r="DA47" i="19"/>
  <c r="DQ47" i="19"/>
  <c r="O47" i="19"/>
  <c r="AE47" i="19"/>
  <c r="AU47" i="19"/>
  <c r="BK47" i="19"/>
  <c r="CA47" i="19"/>
  <c r="CQ47" i="19"/>
  <c r="DG47" i="19"/>
  <c r="CM46" i="19"/>
  <c r="CM47" i="19" s="1"/>
  <c r="BW46" i="19"/>
  <c r="BW47" i="19" s="1"/>
  <c r="BG46" i="19"/>
  <c r="BG47" i="19" s="1"/>
  <c r="AQ46" i="19"/>
  <c r="AQ47" i="19" s="1"/>
  <c r="AA46" i="19"/>
  <c r="AA47" i="19" s="1"/>
  <c r="K46" i="19"/>
  <c r="K47" i="19" s="1"/>
  <c r="F46" i="19"/>
  <c r="F47" i="19" s="1"/>
  <c r="V47" i="19"/>
  <c r="AL47" i="19"/>
  <c r="BB47" i="19"/>
  <c r="BR47" i="19"/>
  <c r="CH47" i="19"/>
  <c r="CX47" i="19"/>
  <c r="G47" i="19"/>
  <c r="R47" i="19"/>
  <c r="W47" i="19"/>
  <c r="AH47" i="19"/>
  <c r="AM47" i="19"/>
  <c r="AX47" i="19"/>
  <c r="BC47" i="19"/>
  <c r="BN47" i="19"/>
  <c r="BS47" i="19"/>
  <c r="CD47" i="19"/>
  <c r="CI47" i="19"/>
  <c r="CT47" i="19"/>
  <c r="CY47" i="19"/>
  <c r="DJ47" i="19"/>
  <c r="DO47" i="19"/>
  <c r="C49" i="19"/>
  <c r="C50" i="19" s="1"/>
  <c r="D48" i="19"/>
  <c r="E48" i="19" s="1"/>
  <c r="F48" i="19" s="1"/>
  <c r="G48" i="19" s="1"/>
  <c r="H48" i="19" s="1"/>
  <c r="I48" i="19" s="1"/>
  <c r="J48" i="19" s="1"/>
  <c r="K48" i="19" s="1"/>
  <c r="L48" i="19" s="1"/>
  <c r="M48" i="19" s="1"/>
  <c r="N48" i="19" s="1"/>
  <c r="O48" i="19" s="1"/>
  <c r="P48" i="19" s="1"/>
  <c r="Q48" i="19" s="1"/>
  <c r="R48" i="19" s="1"/>
  <c r="S48" i="19" s="1"/>
  <c r="T48" i="19" s="1"/>
  <c r="U48" i="19" s="1"/>
  <c r="V48" i="19" s="1"/>
  <c r="W48" i="19" s="1"/>
  <c r="X48" i="19" s="1"/>
  <c r="Y48" i="19" s="1"/>
  <c r="Z48" i="19" s="1"/>
  <c r="AA48" i="19" s="1"/>
  <c r="AB48" i="19" s="1"/>
  <c r="AC48" i="19" s="1"/>
  <c r="AD48" i="19" s="1"/>
  <c r="AE48" i="19" s="1"/>
  <c r="AF48" i="19" s="1"/>
  <c r="AG48" i="19" s="1"/>
  <c r="AH48" i="19" s="1"/>
  <c r="AI48" i="19" s="1"/>
  <c r="AJ48" i="19" s="1"/>
  <c r="AK48" i="19" s="1"/>
  <c r="AL48" i="19" s="1"/>
  <c r="AM48" i="19" s="1"/>
  <c r="AN48" i="19" s="1"/>
  <c r="AO48" i="19" s="1"/>
  <c r="AP48" i="19" s="1"/>
  <c r="AQ48" i="19" s="1"/>
  <c r="AR48" i="19" s="1"/>
  <c r="AS48" i="19" s="1"/>
  <c r="AT48" i="19" s="1"/>
  <c r="AU48" i="19" s="1"/>
  <c r="AV48" i="19" s="1"/>
  <c r="AW48" i="19" s="1"/>
  <c r="AX48" i="19" s="1"/>
  <c r="AY48" i="19" s="1"/>
  <c r="AZ48" i="19" s="1"/>
  <c r="BA48" i="19" s="1"/>
  <c r="BB48" i="19" s="1"/>
  <c r="BC48" i="19" s="1"/>
  <c r="BD48" i="19" s="1"/>
  <c r="BE48" i="19" s="1"/>
  <c r="BF48" i="19" s="1"/>
  <c r="BG48" i="19" s="1"/>
  <c r="BH48" i="19" s="1"/>
  <c r="BI48" i="19" s="1"/>
  <c r="BJ48" i="19" s="1"/>
  <c r="BK48" i="19" s="1"/>
  <c r="BL48" i="19" s="1"/>
  <c r="BM48" i="19" s="1"/>
  <c r="BN48" i="19" s="1"/>
  <c r="BO48" i="19" s="1"/>
  <c r="BP48" i="19" s="1"/>
  <c r="BQ48" i="19" s="1"/>
  <c r="BR48" i="19" s="1"/>
  <c r="BS48" i="19" s="1"/>
  <c r="BT48" i="19" s="1"/>
  <c r="BU48" i="19" s="1"/>
  <c r="BV48" i="19" s="1"/>
  <c r="BW48" i="19" s="1"/>
  <c r="BX48" i="19" s="1"/>
  <c r="BY48" i="19" s="1"/>
  <c r="BZ48" i="19" s="1"/>
  <c r="CA48" i="19" s="1"/>
  <c r="CB48" i="19" s="1"/>
  <c r="CC48" i="19" s="1"/>
  <c r="CD48" i="19" s="1"/>
  <c r="CE48" i="19" s="1"/>
  <c r="CF48" i="19" s="1"/>
  <c r="CG48" i="19" s="1"/>
  <c r="CH48" i="19" s="1"/>
  <c r="CI48" i="19" s="1"/>
  <c r="CJ48" i="19" s="1"/>
  <c r="CK48" i="19" s="1"/>
  <c r="CL48" i="19" s="1"/>
  <c r="CM48" i="19" s="1"/>
  <c r="CN48" i="19" s="1"/>
  <c r="CO48" i="19" s="1"/>
  <c r="CP48" i="19" s="1"/>
  <c r="CQ48" i="19" s="1"/>
  <c r="CR48" i="19" s="1"/>
  <c r="CS48" i="19" s="1"/>
  <c r="CT48" i="19" s="1"/>
  <c r="CU48" i="19" s="1"/>
  <c r="CV48" i="19" s="1"/>
  <c r="CW48" i="19" s="1"/>
  <c r="CX48" i="19" s="1"/>
  <c r="CY48" i="19" s="1"/>
  <c r="CZ48" i="19" s="1"/>
  <c r="DA48" i="19" s="1"/>
  <c r="DB48" i="19" s="1"/>
  <c r="DC48" i="19" s="1"/>
  <c r="DD48" i="19" s="1"/>
  <c r="DE48" i="19" s="1"/>
  <c r="DF48" i="19" s="1"/>
  <c r="DG48" i="19" s="1"/>
  <c r="DH48" i="19" s="1"/>
  <c r="DI48" i="19" s="1"/>
  <c r="DJ48" i="19" s="1"/>
  <c r="DK48" i="19" s="1"/>
  <c r="DL48" i="19" s="1"/>
  <c r="DM48" i="19" s="1"/>
  <c r="DN48" i="19" s="1"/>
  <c r="DO48" i="19" s="1"/>
  <c r="DP48" i="19" s="1"/>
  <c r="DQ48" i="19" s="1"/>
  <c r="DR48" i="19" s="1"/>
  <c r="DR23" i="19"/>
  <c r="DN23" i="19"/>
  <c r="DJ23" i="19"/>
  <c r="DF23" i="19"/>
  <c r="DB23" i="19"/>
  <c r="CX23" i="19"/>
  <c r="CT23" i="19"/>
  <c r="CP23" i="19"/>
  <c r="CL23" i="19"/>
  <c r="CH23" i="19"/>
  <c r="CD23" i="19"/>
  <c r="BZ23" i="19"/>
  <c r="BV23" i="19"/>
  <c r="BR23" i="19"/>
  <c r="BN23" i="19"/>
  <c r="DQ23" i="19"/>
  <c r="DM23" i="19"/>
  <c r="DI23" i="19"/>
  <c r="DE23" i="19"/>
  <c r="DA23" i="19"/>
  <c r="CW23" i="19"/>
  <c r="CS23" i="19"/>
  <c r="CO23" i="19"/>
  <c r="CK23" i="19"/>
  <c r="CG23" i="19"/>
  <c r="CC23" i="19"/>
  <c r="BY23" i="19"/>
  <c r="BU23" i="19"/>
  <c r="BQ23" i="19"/>
  <c r="BM23" i="19"/>
  <c r="D32" i="19"/>
  <c r="D34" i="19" s="1"/>
  <c r="C33" i="19"/>
  <c r="C36" i="19" s="1"/>
  <c r="E22" i="19"/>
  <c r="E21" i="19"/>
  <c r="C22" i="19"/>
  <c r="C21" i="19"/>
  <c r="D22" i="19"/>
  <c r="D21" i="19"/>
  <c r="H25" i="20" l="1"/>
  <c r="H26" i="20"/>
  <c r="G47" i="20"/>
  <c r="H48" i="20"/>
  <c r="G41" i="20"/>
  <c r="H33" i="20"/>
  <c r="H34" i="20"/>
  <c r="I16" i="20"/>
  <c r="K13" i="20"/>
  <c r="K14" i="20"/>
  <c r="J15" i="20"/>
  <c r="D13" i="19"/>
  <c r="D14" i="19" s="1"/>
  <c r="H66" i="19"/>
  <c r="L66" i="19"/>
  <c r="J66" i="19"/>
  <c r="K66" i="19"/>
  <c r="J65" i="19"/>
  <c r="H65" i="19"/>
  <c r="C24" i="19"/>
  <c r="I65" i="19"/>
  <c r="DC47" i="19"/>
  <c r="K65" i="19"/>
  <c r="L65" i="19"/>
  <c r="I66" i="19"/>
  <c r="D49" i="19"/>
  <c r="D50" i="19" s="1"/>
  <c r="D33" i="19"/>
  <c r="D35" i="19" s="1"/>
  <c r="E32" i="19"/>
  <c r="E34" i="19" s="1"/>
  <c r="E23" i="19"/>
  <c r="C35" i="19"/>
  <c r="C23" i="19"/>
  <c r="F22" i="19"/>
  <c r="F21" i="19"/>
  <c r="D23" i="19"/>
  <c r="I26" i="20" l="1"/>
  <c r="I25" i="20"/>
  <c r="I48" i="20"/>
  <c r="H47" i="20"/>
  <c r="H41" i="20"/>
  <c r="I33" i="20"/>
  <c r="I34" i="20"/>
  <c r="L13" i="20"/>
  <c r="J16" i="20"/>
  <c r="L14" i="20"/>
  <c r="K15" i="20"/>
  <c r="E13" i="19"/>
  <c r="E14" i="19" s="1"/>
  <c r="D24" i="19"/>
  <c r="F32" i="19"/>
  <c r="F34" i="19" s="1"/>
  <c r="F23" i="19"/>
  <c r="D36" i="19"/>
  <c r="E49" i="19"/>
  <c r="E50" i="19" s="1"/>
  <c r="E33" i="19"/>
  <c r="G21" i="19"/>
  <c r="G22" i="19"/>
  <c r="G32" i="19"/>
  <c r="J25" i="20" l="1"/>
  <c r="J26" i="20"/>
  <c r="I47" i="20"/>
  <c r="J48" i="20"/>
  <c r="I41" i="20"/>
  <c r="J33" i="20"/>
  <c r="J34" i="20"/>
  <c r="K16" i="20"/>
  <c r="M13" i="20"/>
  <c r="L15" i="20"/>
  <c r="M14" i="20"/>
  <c r="F13" i="19"/>
  <c r="F14" i="19" s="1"/>
  <c r="F33" i="19"/>
  <c r="E24" i="19"/>
  <c r="E36" i="19"/>
  <c r="F49" i="19"/>
  <c r="F50" i="19" s="1"/>
  <c r="E35" i="19"/>
  <c r="G23" i="19"/>
  <c r="G33" i="19"/>
  <c r="H32" i="19"/>
  <c r="G34" i="19"/>
  <c r="H22" i="19"/>
  <c r="H21" i="19"/>
  <c r="K26" i="20" l="1"/>
  <c r="K25" i="20"/>
  <c r="K48" i="20"/>
  <c r="J47" i="20"/>
  <c r="J41" i="20"/>
  <c r="K33" i="20"/>
  <c r="K34" i="20"/>
  <c r="N13" i="20"/>
  <c r="L16" i="20"/>
  <c r="N14" i="20"/>
  <c r="M15" i="20"/>
  <c r="F35" i="19"/>
  <c r="F36" i="19"/>
  <c r="G13" i="19"/>
  <c r="G14" i="19" s="1"/>
  <c r="F24" i="19"/>
  <c r="H23" i="19"/>
  <c r="G49" i="19"/>
  <c r="G50" i="19" s="1"/>
  <c r="G36" i="19"/>
  <c r="I21" i="19"/>
  <c r="I22" i="19"/>
  <c r="H33" i="19"/>
  <c r="H34" i="19"/>
  <c r="I32" i="19"/>
  <c r="G35" i="19"/>
  <c r="L25" i="20" l="1"/>
  <c r="L26" i="20"/>
  <c r="K47" i="20"/>
  <c r="L48" i="20"/>
  <c r="K41" i="20"/>
  <c r="L33" i="20"/>
  <c r="L34" i="20"/>
  <c r="M16" i="20"/>
  <c r="N15" i="20"/>
  <c r="H13" i="19"/>
  <c r="H14" i="19" s="1"/>
  <c r="G24" i="19"/>
  <c r="H49" i="19"/>
  <c r="H50" i="19" s="1"/>
  <c r="I23" i="19"/>
  <c r="J22" i="19"/>
  <c r="J21" i="19"/>
  <c r="H35" i="19"/>
  <c r="H36" i="19"/>
  <c r="I34" i="19"/>
  <c r="I33" i="19"/>
  <c r="J32" i="19"/>
  <c r="M26" i="20" l="1"/>
  <c r="M25" i="20"/>
  <c r="M48" i="20"/>
  <c r="L47" i="20"/>
  <c r="L41" i="20"/>
  <c r="M33" i="20"/>
  <c r="M34" i="20"/>
  <c r="N16" i="20"/>
  <c r="I13" i="19"/>
  <c r="I14" i="19" s="1"/>
  <c r="H24" i="19"/>
  <c r="I49" i="19"/>
  <c r="I50" i="19" s="1"/>
  <c r="J23" i="19"/>
  <c r="I35" i="19"/>
  <c r="K22" i="19"/>
  <c r="K21" i="19"/>
  <c r="I36" i="19"/>
  <c r="K32" i="19"/>
  <c r="J34" i="19"/>
  <c r="J33" i="19"/>
  <c r="N26" i="20" l="1"/>
  <c r="N25" i="20"/>
  <c r="M47" i="20"/>
  <c r="N48" i="20"/>
  <c r="M41" i="20"/>
  <c r="N33" i="20"/>
  <c r="N34" i="20"/>
  <c r="J13" i="19"/>
  <c r="J14" i="19" s="1"/>
  <c r="I24" i="19"/>
  <c r="J49" i="19"/>
  <c r="J50" i="19" s="1"/>
  <c r="K23" i="19"/>
  <c r="J35" i="19"/>
  <c r="K34" i="19"/>
  <c r="L32" i="19"/>
  <c r="K33" i="19"/>
  <c r="J36" i="19"/>
  <c r="L22" i="19"/>
  <c r="L21" i="19"/>
  <c r="N47" i="20" l="1"/>
  <c r="N41" i="20"/>
  <c r="K13" i="19"/>
  <c r="K14" i="19" s="1"/>
  <c r="L23" i="19"/>
  <c r="J24" i="19"/>
  <c r="K49" i="19"/>
  <c r="K50" i="19" s="1"/>
  <c r="K36" i="19"/>
  <c r="M21" i="19"/>
  <c r="M22" i="19"/>
  <c r="L33" i="19"/>
  <c r="L34" i="19"/>
  <c r="M32" i="19"/>
  <c r="K35" i="19"/>
  <c r="L13" i="19" l="1"/>
  <c r="L14" i="19" s="1"/>
  <c r="K24" i="19"/>
  <c r="L49" i="19"/>
  <c r="L50" i="19" s="1"/>
  <c r="M23" i="19"/>
  <c r="L36" i="19"/>
  <c r="N21" i="19"/>
  <c r="N22" i="19"/>
  <c r="M34" i="19"/>
  <c r="M33" i="19"/>
  <c r="N32" i="19"/>
  <c r="L35" i="19"/>
  <c r="M13" i="19" l="1"/>
  <c r="M14" i="19" s="1"/>
  <c r="L24" i="19"/>
  <c r="M49" i="19"/>
  <c r="M50" i="19" s="1"/>
  <c r="N23" i="19"/>
  <c r="M35" i="19"/>
  <c r="O32" i="19"/>
  <c r="N33" i="19"/>
  <c r="C65" i="19" s="1"/>
  <c r="N34" i="19"/>
  <c r="C66" i="19" s="1"/>
  <c r="M36" i="19"/>
  <c r="O22" i="19"/>
  <c r="O21" i="19"/>
  <c r="N13" i="19" l="1"/>
  <c r="N14" i="19" s="1"/>
  <c r="M24" i="19"/>
  <c r="N49" i="19"/>
  <c r="N50" i="19" s="1"/>
  <c r="C25" i="19"/>
  <c r="O23" i="19"/>
  <c r="P22" i="19"/>
  <c r="P21" i="19"/>
  <c r="N35" i="19"/>
  <c r="N36" i="19"/>
  <c r="O33" i="19"/>
  <c r="P32" i="19"/>
  <c r="O34" i="19"/>
  <c r="O13" i="19" l="1"/>
  <c r="O14" i="19" s="1"/>
  <c r="C26" i="19"/>
  <c r="N24" i="19"/>
  <c r="O49" i="19"/>
  <c r="O50" i="19" s="1"/>
  <c r="D25" i="19"/>
  <c r="P23" i="19"/>
  <c r="C37" i="19"/>
  <c r="O36" i="19"/>
  <c r="Q22" i="19"/>
  <c r="Q21" i="19"/>
  <c r="P34" i="19"/>
  <c r="Q32" i="19"/>
  <c r="P33" i="19"/>
  <c r="O35" i="19"/>
  <c r="P13" i="19" l="1"/>
  <c r="P14" i="19" s="1"/>
  <c r="C68" i="19"/>
  <c r="O24" i="19"/>
  <c r="D26" i="19"/>
  <c r="P49" i="19"/>
  <c r="P50" i="19" s="1"/>
  <c r="Q23" i="19"/>
  <c r="E25" i="19"/>
  <c r="D37" i="19"/>
  <c r="C38" i="19"/>
  <c r="R21" i="19"/>
  <c r="R22" i="19"/>
  <c r="P36" i="19"/>
  <c r="Q34" i="19"/>
  <c r="Q33" i="19"/>
  <c r="R32" i="19"/>
  <c r="P35" i="19"/>
  <c r="Q13" i="19" l="1"/>
  <c r="Q14" i="19" s="1"/>
  <c r="E26" i="19"/>
  <c r="P24" i="19"/>
  <c r="Q49" i="19"/>
  <c r="Q50" i="19" s="1"/>
  <c r="R23" i="19"/>
  <c r="F25" i="19"/>
  <c r="E37" i="19"/>
  <c r="D38" i="19"/>
  <c r="Q35" i="19"/>
  <c r="Q36" i="19"/>
  <c r="S22" i="19"/>
  <c r="S21" i="19"/>
  <c r="R33" i="19"/>
  <c r="S32" i="19"/>
  <c r="R34" i="19"/>
  <c r="R13" i="19" l="1"/>
  <c r="R14" i="19" s="1"/>
  <c r="Q24" i="19"/>
  <c r="F26" i="19"/>
  <c r="R49" i="19"/>
  <c r="R50" i="19" s="1"/>
  <c r="S23" i="19"/>
  <c r="G25" i="19"/>
  <c r="E38" i="19"/>
  <c r="F37" i="19"/>
  <c r="F38" i="19" s="1"/>
  <c r="S34" i="19"/>
  <c r="T32" i="19"/>
  <c r="S33" i="19"/>
  <c r="R35" i="19"/>
  <c r="T22" i="19"/>
  <c r="T21" i="19"/>
  <c r="R36" i="19"/>
  <c r="S13" i="19" l="1"/>
  <c r="S14" i="19" s="1"/>
  <c r="G26" i="19"/>
  <c r="R24" i="19"/>
  <c r="S49" i="19"/>
  <c r="S50" i="19" s="1"/>
  <c r="T23" i="19"/>
  <c r="H25" i="19"/>
  <c r="G37" i="19"/>
  <c r="G38" i="19" s="1"/>
  <c r="U32" i="19"/>
  <c r="T33" i="19"/>
  <c r="T34" i="19"/>
  <c r="S36" i="19"/>
  <c r="U22" i="19"/>
  <c r="U21" i="19"/>
  <c r="S35" i="19"/>
  <c r="T13" i="19" l="1"/>
  <c r="T14" i="19" s="1"/>
  <c r="H26" i="19"/>
  <c r="S24" i="19"/>
  <c r="T49" i="19"/>
  <c r="T50" i="19" s="1"/>
  <c r="U23" i="19"/>
  <c r="I25" i="19"/>
  <c r="H37" i="19"/>
  <c r="T35" i="19"/>
  <c r="T36" i="19"/>
  <c r="U34" i="19"/>
  <c r="U33" i="19"/>
  <c r="V32" i="19"/>
  <c r="V22" i="19"/>
  <c r="V21" i="19"/>
  <c r="U13" i="19" l="1"/>
  <c r="U14" i="19" s="1"/>
  <c r="T24" i="19"/>
  <c r="I26" i="19"/>
  <c r="U49" i="19"/>
  <c r="U50" i="19" s="1"/>
  <c r="V23" i="19"/>
  <c r="J25" i="19"/>
  <c r="I37" i="19"/>
  <c r="H38" i="19"/>
  <c r="U35" i="19"/>
  <c r="W21" i="19"/>
  <c r="W22" i="19"/>
  <c r="V34" i="19"/>
  <c r="V33" i="19"/>
  <c r="W32" i="19"/>
  <c r="U36" i="19"/>
  <c r="V13" i="19" l="1"/>
  <c r="V14" i="19" s="1"/>
  <c r="J26" i="19"/>
  <c r="U24" i="19"/>
  <c r="V49" i="19"/>
  <c r="V50" i="19" s="1"/>
  <c r="W23" i="19"/>
  <c r="K25" i="19"/>
  <c r="J37" i="19"/>
  <c r="I38" i="19"/>
  <c r="V36" i="19"/>
  <c r="W33" i="19"/>
  <c r="X32" i="19"/>
  <c r="W34" i="19"/>
  <c r="V35" i="19"/>
  <c r="X22" i="19"/>
  <c r="X21" i="19"/>
  <c r="W13" i="19" l="1"/>
  <c r="W14" i="19" s="1"/>
  <c r="K26" i="19"/>
  <c r="V24" i="19"/>
  <c r="W49" i="19"/>
  <c r="W50" i="19" s="1"/>
  <c r="X23" i="19"/>
  <c r="L25" i="19"/>
  <c r="K37" i="19"/>
  <c r="K38" i="19" s="1"/>
  <c r="J38" i="19"/>
  <c r="W35" i="19"/>
  <c r="Y32" i="19"/>
  <c r="X34" i="19"/>
  <c r="X33" i="19"/>
  <c r="W36" i="19"/>
  <c r="Y21" i="19"/>
  <c r="Y22" i="19"/>
  <c r="X13" i="19" l="1"/>
  <c r="X14" i="19" s="1"/>
  <c r="L26" i="19"/>
  <c r="W24" i="19"/>
  <c r="X49" i="19"/>
  <c r="X50" i="19" s="1"/>
  <c r="Y23" i="19"/>
  <c r="M25" i="19"/>
  <c r="L37" i="19"/>
  <c r="X35" i="19"/>
  <c r="Z22" i="19"/>
  <c r="Z21" i="19"/>
  <c r="X36" i="19"/>
  <c r="Y34" i="19"/>
  <c r="Y33" i="19"/>
  <c r="M37" i="19" s="1"/>
  <c r="M38" i="19" s="1"/>
  <c r="Z32" i="19"/>
  <c r="Y13" i="19" l="1"/>
  <c r="Y14" i="19" s="1"/>
  <c r="M26" i="19"/>
  <c r="X24" i="19"/>
  <c r="Y49" i="19"/>
  <c r="Y50" i="19" s="1"/>
  <c r="Z23" i="19"/>
  <c r="N25" i="19"/>
  <c r="L38" i="19"/>
  <c r="Y35" i="19"/>
  <c r="Z34" i="19"/>
  <c r="D66" i="19" s="1"/>
  <c r="Z33" i="19"/>
  <c r="N37" i="19" s="1"/>
  <c r="N38" i="19" s="1"/>
  <c r="AA32" i="19"/>
  <c r="AA22" i="19"/>
  <c r="AA21" i="19"/>
  <c r="Y36" i="19"/>
  <c r="Z13" i="19" l="1"/>
  <c r="Z14" i="19" s="1"/>
  <c r="N26" i="19"/>
  <c r="Y24" i="19"/>
  <c r="D65" i="19"/>
  <c r="Z49" i="19"/>
  <c r="Z50" i="19" s="1"/>
  <c r="AA23" i="19"/>
  <c r="O25" i="19"/>
  <c r="Z35" i="19"/>
  <c r="AB22" i="19"/>
  <c r="AB21" i="19"/>
  <c r="Z36" i="19"/>
  <c r="AA34" i="19"/>
  <c r="AA33" i="19"/>
  <c r="AB32" i="19"/>
  <c r="AA13" i="19" l="1"/>
  <c r="AA14" i="19" s="1"/>
  <c r="O26" i="19"/>
  <c r="Z24" i="19"/>
  <c r="AA49" i="19"/>
  <c r="AA50" i="19" s="1"/>
  <c r="AB23" i="19"/>
  <c r="P25" i="19"/>
  <c r="O37" i="19"/>
  <c r="AC21" i="19"/>
  <c r="AC22" i="19"/>
  <c r="AC32" i="19"/>
  <c r="AB33" i="19"/>
  <c r="AB34" i="19"/>
  <c r="AA36" i="19"/>
  <c r="AA35" i="19"/>
  <c r="AB13" i="19" l="1"/>
  <c r="AB14" i="19" s="1"/>
  <c r="D68" i="19"/>
  <c r="AA24" i="19"/>
  <c r="P26" i="19"/>
  <c r="AB49" i="19"/>
  <c r="AB50" i="19" s="1"/>
  <c r="AC23" i="19"/>
  <c r="Q25" i="19"/>
  <c r="P37" i="19"/>
  <c r="P38" i="19" s="1"/>
  <c r="O38" i="19"/>
  <c r="AC34" i="19"/>
  <c r="AC33" i="19"/>
  <c r="AD32" i="19"/>
  <c r="AB36" i="19"/>
  <c r="AD21" i="19"/>
  <c r="AD22" i="19"/>
  <c r="AB35" i="19"/>
  <c r="AC13" i="19" l="1"/>
  <c r="AC14" i="19" s="1"/>
  <c r="Q26" i="19"/>
  <c r="AB24" i="19"/>
  <c r="AC49" i="19"/>
  <c r="AC50" i="19" s="1"/>
  <c r="AD23" i="19"/>
  <c r="R25" i="19"/>
  <c r="Q37" i="19"/>
  <c r="AC35" i="19"/>
  <c r="AC36" i="19"/>
  <c r="AD33" i="19"/>
  <c r="R37" i="19" s="1"/>
  <c r="R38" i="19" s="1"/>
  <c r="AE32" i="19"/>
  <c r="AD34" i="19"/>
  <c r="AE22" i="19"/>
  <c r="AE21" i="19"/>
  <c r="AD13" i="19" l="1"/>
  <c r="AD14" i="19" s="1"/>
  <c r="R26" i="19"/>
  <c r="AC24" i="19"/>
  <c r="AD49" i="19"/>
  <c r="AD50" i="19" s="1"/>
  <c r="AE23" i="19"/>
  <c r="S25" i="19"/>
  <c r="Q38" i="19"/>
  <c r="AD35" i="19"/>
  <c r="AF22" i="19"/>
  <c r="AF21" i="19"/>
  <c r="AF32" i="19"/>
  <c r="AE34" i="19"/>
  <c r="AE33" i="19"/>
  <c r="S37" i="19" s="1"/>
  <c r="S38" i="19" s="1"/>
  <c r="AD36" i="19"/>
  <c r="AE13" i="19" l="1"/>
  <c r="AE14" i="19" s="1"/>
  <c r="AD24" i="19"/>
  <c r="S26" i="19"/>
  <c r="AE49" i="19"/>
  <c r="AE50" i="19" s="1"/>
  <c r="AF23" i="19"/>
  <c r="T25" i="19"/>
  <c r="AE35" i="19"/>
  <c r="AE36" i="19"/>
  <c r="AG32" i="19"/>
  <c r="AF34" i="19"/>
  <c r="AF33" i="19"/>
  <c r="AG22" i="19"/>
  <c r="AG21" i="19"/>
  <c r="AF13" i="19" l="1"/>
  <c r="AF14" i="19" s="1"/>
  <c r="AE24" i="19"/>
  <c r="T26" i="19"/>
  <c r="AF49" i="19"/>
  <c r="AF50" i="19" s="1"/>
  <c r="AG23" i="19"/>
  <c r="U25" i="19"/>
  <c r="T37" i="19"/>
  <c r="AH21" i="19"/>
  <c r="AH22" i="19"/>
  <c r="AG34" i="19"/>
  <c r="AG33" i="19"/>
  <c r="AH32" i="19"/>
  <c r="AF36" i="19"/>
  <c r="AF35" i="19"/>
  <c r="AG13" i="19" l="1"/>
  <c r="AG14" i="19" s="1"/>
  <c r="U26" i="19"/>
  <c r="AF24" i="19"/>
  <c r="AG49" i="19"/>
  <c r="AG50" i="19" s="1"/>
  <c r="AH23" i="19"/>
  <c r="V25" i="19"/>
  <c r="U37" i="19"/>
  <c r="U38" i="19" s="1"/>
  <c r="T38" i="19"/>
  <c r="AG35" i="19"/>
  <c r="AI21" i="19"/>
  <c r="AI22" i="19"/>
  <c r="AG36" i="19"/>
  <c r="AH33" i="19"/>
  <c r="AI32" i="19"/>
  <c r="AH34" i="19"/>
  <c r="AH13" i="19" l="1"/>
  <c r="AH14" i="19" s="1"/>
  <c r="AG24" i="19"/>
  <c r="V26" i="19"/>
  <c r="AH49" i="19"/>
  <c r="AH50" i="19" s="1"/>
  <c r="AI23" i="19"/>
  <c r="W25" i="19"/>
  <c r="V37" i="19"/>
  <c r="V38" i="19" s="1"/>
  <c r="AH35" i="19"/>
  <c r="AI33" i="19"/>
  <c r="AI34" i="19"/>
  <c r="AJ32" i="19"/>
  <c r="AJ22" i="19"/>
  <c r="AJ21" i="19"/>
  <c r="AH36" i="19"/>
  <c r="AI13" i="19" l="1"/>
  <c r="AI14" i="19" s="1"/>
  <c r="AH24" i="19"/>
  <c r="W26" i="19"/>
  <c r="AI49" i="19"/>
  <c r="AI50" i="19" s="1"/>
  <c r="AJ23" i="19"/>
  <c r="X25" i="19"/>
  <c r="W37" i="19"/>
  <c r="W38" i="19" s="1"/>
  <c r="AI35" i="19"/>
  <c r="AK32" i="19"/>
  <c r="AJ33" i="19"/>
  <c r="X37" i="19" s="1"/>
  <c r="X38" i="19" s="1"/>
  <c r="AJ34" i="19"/>
  <c r="AK22" i="19"/>
  <c r="AK21" i="19"/>
  <c r="AI36" i="19"/>
  <c r="AJ13" i="19" l="1"/>
  <c r="AJ14" i="19" s="1"/>
  <c r="AI24" i="19"/>
  <c r="X26" i="19"/>
  <c r="AJ49" i="19"/>
  <c r="AJ50" i="19" s="1"/>
  <c r="AK23" i="19"/>
  <c r="Y25" i="19"/>
  <c r="AL22" i="19"/>
  <c r="AL21" i="19"/>
  <c r="AJ35" i="19"/>
  <c r="AJ36" i="19"/>
  <c r="AK34" i="19"/>
  <c r="AK33" i="19"/>
  <c r="AL32" i="19"/>
  <c r="AK13" i="19" l="1"/>
  <c r="AK14" i="19" s="1"/>
  <c r="Y26" i="19"/>
  <c r="AJ24" i="19"/>
  <c r="AK49" i="19"/>
  <c r="AK50" i="19" s="1"/>
  <c r="AL23" i="19"/>
  <c r="Z25" i="19"/>
  <c r="Y37" i="19"/>
  <c r="Y38" i="19" s="1"/>
  <c r="AK35" i="19"/>
  <c r="AK36" i="19"/>
  <c r="AM21" i="19"/>
  <c r="AM22" i="19"/>
  <c r="AL34" i="19"/>
  <c r="E66" i="19" s="1"/>
  <c r="AM32" i="19"/>
  <c r="AL33" i="19"/>
  <c r="E65" i="19" s="1"/>
  <c r="AL13" i="19" l="1"/>
  <c r="AL14" i="19" s="1"/>
  <c r="Z26" i="19"/>
  <c r="AK24" i="19"/>
  <c r="AL49" i="19"/>
  <c r="AL50" i="19" s="1"/>
  <c r="AM23" i="19"/>
  <c r="AA25" i="19"/>
  <c r="Z37" i="19"/>
  <c r="Z38" i="19" s="1"/>
  <c r="AL35" i="19"/>
  <c r="AM33" i="19"/>
  <c r="AN32" i="19"/>
  <c r="AM34" i="19"/>
  <c r="AN22" i="19"/>
  <c r="AN21" i="19"/>
  <c r="AL36" i="19"/>
  <c r="AM13" i="19" l="1"/>
  <c r="AM14" i="19" s="1"/>
  <c r="AA26" i="19"/>
  <c r="AL24" i="19"/>
  <c r="AM49" i="19"/>
  <c r="AM50" i="19" s="1"/>
  <c r="AN23" i="19"/>
  <c r="AB25" i="19"/>
  <c r="AA37" i="19"/>
  <c r="AA38" i="19" s="1"/>
  <c r="AM35" i="19"/>
  <c r="AM36" i="19"/>
  <c r="AO22" i="19"/>
  <c r="AO21" i="19"/>
  <c r="AO32" i="19"/>
  <c r="AN34" i="19"/>
  <c r="AN33" i="19"/>
  <c r="AN13" i="19" l="1"/>
  <c r="AN14" i="19" s="1"/>
  <c r="E68" i="19"/>
  <c r="AM24" i="19"/>
  <c r="AB26" i="19"/>
  <c r="AN49" i="19"/>
  <c r="AN50" i="19" s="1"/>
  <c r="AO23" i="19"/>
  <c r="AC25" i="19"/>
  <c r="AB37" i="19"/>
  <c r="AB38" i="19" s="1"/>
  <c r="AN35" i="19"/>
  <c r="AP22" i="19"/>
  <c r="AP21" i="19"/>
  <c r="AN36" i="19"/>
  <c r="AO34" i="19"/>
  <c r="AO33" i="19"/>
  <c r="AP32" i="19"/>
  <c r="AO13" i="19" l="1"/>
  <c r="AO14" i="19" s="1"/>
  <c r="AC26" i="19"/>
  <c r="AN24" i="19"/>
  <c r="AO49" i="19"/>
  <c r="AO50" i="19" s="1"/>
  <c r="AP23" i="19"/>
  <c r="AD25" i="19"/>
  <c r="AC37" i="19"/>
  <c r="AQ22" i="19"/>
  <c r="AQ21" i="19"/>
  <c r="AP33" i="19"/>
  <c r="AP34" i="19"/>
  <c r="AQ32" i="19"/>
  <c r="AO35" i="19"/>
  <c r="AO36" i="19"/>
  <c r="AP13" i="19" l="1"/>
  <c r="AP14" i="19" s="1"/>
  <c r="AD26" i="19"/>
  <c r="AO24" i="19"/>
  <c r="AP49" i="19"/>
  <c r="AP50" i="19" s="1"/>
  <c r="AQ23" i="19"/>
  <c r="AE25" i="19"/>
  <c r="AC38" i="19"/>
  <c r="AD37" i="19"/>
  <c r="AD38" i="19" s="1"/>
  <c r="AQ34" i="19"/>
  <c r="AQ33" i="19"/>
  <c r="AR32" i="19"/>
  <c r="AP36" i="19"/>
  <c r="AR22" i="19"/>
  <c r="AR21" i="19"/>
  <c r="AP35" i="19"/>
  <c r="AQ13" i="19" l="1"/>
  <c r="AQ14" i="19" s="1"/>
  <c r="AE26" i="19"/>
  <c r="AP24" i="19"/>
  <c r="AQ49" i="19"/>
  <c r="AQ50" i="19" s="1"/>
  <c r="AR23" i="19"/>
  <c r="AF25" i="19"/>
  <c r="AE37" i="19"/>
  <c r="AE38" i="19" s="1"/>
  <c r="AQ36" i="19"/>
  <c r="AS21" i="19"/>
  <c r="AS22" i="19"/>
  <c r="AS32" i="19"/>
  <c r="AR33" i="19"/>
  <c r="AF37" i="19" s="1"/>
  <c r="AF38" i="19" s="1"/>
  <c r="AR34" i="19"/>
  <c r="AQ35" i="19"/>
  <c r="AR13" i="19" l="1"/>
  <c r="AR14" i="19" s="1"/>
  <c r="AF26" i="19"/>
  <c r="AQ24" i="19"/>
  <c r="AR49" i="19"/>
  <c r="AR50" i="19" s="1"/>
  <c r="AS23" i="19"/>
  <c r="AG25" i="19"/>
  <c r="AR35" i="19"/>
  <c r="AS34" i="19"/>
  <c r="AS33" i="19"/>
  <c r="AT32" i="19"/>
  <c r="AR36" i="19"/>
  <c r="AT21" i="19"/>
  <c r="AT22" i="19"/>
  <c r="AS13" i="19" l="1"/>
  <c r="AS14" i="19" s="1"/>
  <c r="AR24" i="19"/>
  <c r="AG26" i="19"/>
  <c r="AS49" i="19"/>
  <c r="AS50" i="19" s="1"/>
  <c r="AT23" i="19"/>
  <c r="AH25" i="19"/>
  <c r="AG37" i="19"/>
  <c r="AG38" i="19" s="1"/>
  <c r="AS35" i="19"/>
  <c r="AU32" i="19"/>
  <c r="AT34" i="19"/>
  <c r="AT33" i="19"/>
  <c r="AS36" i="19"/>
  <c r="AU22" i="19"/>
  <c r="AU21" i="19"/>
  <c r="AT13" i="19" l="1"/>
  <c r="AT14" i="19" s="1"/>
  <c r="AH26" i="19"/>
  <c r="AS24" i="19"/>
  <c r="AT49" i="19"/>
  <c r="AT50" i="19" s="1"/>
  <c r="AU23" i="19"/>
  <c r="AI25" i="19"/>
  <c r="AH37" i="19"/>
  <c r="AH38" i="19" s="1"/>
  <c r="AT35" i="19"/>
  <c r="AU34" i="19"/>
  <c r="AV32" i="19"/>
  <c r="AU33" i="19"/>
  <c r="AI37" i="19" s="1"/>
  <c r="AI38" i="19" s="1"/>
  <c r="AV22" i="19"/>
  <c r="AV21" i="19"/>
  <c r="AT36" i="19"/>
  <c r="AU13" i="19" l="1"/>
  <c r="AU14" i="19" s="1"/>
  <c r="AI26" i="19"/>
  <c r="AT24" i="19"/>
  <c r="AU49" i="19"/>
  <c r="AU50" i="19" s="1"/>
  <c r="AV23" i="19"/>
  <c r="AJ25" i="19"/>
  <c r="AU35" i="19"/>
  <c r="AW22" i="19"/>
  <c r="AW21" i="19"/>
  <c r="AW32" i="19"/>
  <c r="AV34" i="19"/>
  <c r="AV33" i="19"/>
  <c r="AU36" i="19"/>
  <c r="AV13" i="19" l="1"/>
  <c r="AV14" i="19" s="1"/>
  <c r="AU24" i="19"/>
  <c r="AJ26" i="19"/>
  <c r="AV49" i="19"/>
  <c r="AV50" i="19" s="1"/>
  <c r="AW23" i="19"/>
  <c r="AK25" i="19"/>
  <c r="AJ37" i="19"/>
  <c r="AV36" i="19"/>
  <c r="AW34" i="19"/>
  <c r="AW33" i="19"/>
  <c r="AX32" i="19"/>
  <c r="AX21" i="19"/>
  <c r="AX22" i="19"/>
  <c r="AV35" i="19"/>
  <c r="AW13" i="19" l="1"/>
  <c r="AW14" i="19" s="1"/>
  <c r="AK26" i="19"/>
  <c r="AV24" i="19"/>
  <c r="AW49" i="19"/>
  <c r="AW50" i="19" s="1"/>
  <c r="AX23" i="19"/>
  <c r="AL25" i="19"/>
  <c r="AJ38" i="19"/>
  <c r="AK37" i="19"/>
  <c r="AW35" i="19"/>
  <c r="AX33" i="19"/>
  <c r="F65" i="19" s="1"/>
  <c r="AY32" i="19"/>
  <c r="AX34" i="19"/>
  <c r="F66" i="19" s="1"/>
  <c r="AY22" i="19"/>
  <c r="AY21" i="19"/>
  <c r="AW36" i="19"/>
  <c r="AX13" i="19" l="1"/>
  <c r="AX14" i="19" s="1"/>
  <c r="AL26" i="19"/>
  <c r="AW24" i="19"/>
  <c r="AX49" i="19"/>
  <c r="AX50" i="19" s="1"/>
  <c r="AY23" i="19"/>
  <c r="AM25" i="19"/>
  <c r="AK38" i="19"/>
  <c r="AL37" i="19"/>
  <c r="AL38" i="19" s="1"/>
  <c r="AX35" i="19"/>
  <c r="AX36" i="19"/>
  <c r="AZ22" i="19"/>
  <c r="AZ21" i="19"/>
  <c r="AY33" i="19"/>
  <c r="AZ32" i="19"/>
  <c r="AY34" i="19"/>
  <c r="AY13" i="19" l="1"/>
  <c r="AY14" i="19" s="1"/>
  <c r="AM26" i="19"/>
  <c r="AX24" i="19"/>
  <c r="AY49" i="19"/>
  <c r="AY50" i="19" s="1"/>
  <c r="AZ23" i="19"/>
  <c r="AN25" i="19"/>
  <c r="AM37" i="19"/>
  <c r="BA32" i="19"/>
  <c r="AZ34" i="19"/>
  <c r="AZ33" i="19"/>
  <c r="AY35" i="19"/>
  <c r="BA22" i="19"/>
  <c r="BA21" i="19"/>
  <c r="AY36" i="19"/>
  <c r="AZ13" i="19" l="1"/>
  <c r="AZ14" i="19" s="1"/>
  <c r="AN26" i="19"/>
  <c r="F68" i="19"/>
  <c r="AY24" i="19"/>
  <c r="AZ49" i="19"/>
  <c r="AZ50" i="19" s="1"/>
  <c r="BA23" i="19"/>
  <c r="AO25" i="19"/>
  <c r="AN37" i="19"/>
  <c r="AM38" i="19"/>
  <c r="AZ35" i="19"/>
  <c r="AZ36" i="19"/>
  <c r="BB22" i="19"/>
  <c r="BB21" i="19"/>
  <c r="BA34" i="19"/>
  <c r="BA33" i="19"/>
  <c r="BB32" i="19"/>
  <c r="BA13" i="19" l="1"/>
  <c r="BA14" i="19" s="1"/>
  <c r="AZ24" i="19"/>
  <c r="AO26" i="19"/>
  <c r="BA49" i="19"/>
  <c r="BA50" i="19" s="1"/>
  <c r="BB23" i="19"/>
  <c r="AP25" i="19"/>
  <c r="AO37" i="19"/>
  <c r="AN38" i="19"/>
  <c r="BA36" i="19"/>
  <c r="BB34" i="19"/>
  <c r="BB33" i="19"/>
  <c r="BC32" i="19"/>
  <c r="BA35" i="19"/>
  <c r="BC21" i="19"/>
  <c r="BC22" i="19"/>
  <c r="BB13" i="19" l="1"/>
  <c r="BB14" i="19" s="1"/>
  <c r="BA24" i="19"/>
  <c r="AP26" i="19"/>
  <c r="BB49" i="19"/>
  <c r="BB50" i="19" s="1"/>
  <c r="BC23" i="19"/>
  <c r="AQ25" i="19"/>
  <c r="AP37" i="19"/>
  <c r="AP38" i="19" s="1"/>
  <c r="AO38" i="19"/>
  <c r="BD22" i="19"/>
  <c r="BD21" i="19"/>
  <c r="BC33" i="19"/>
  <c r="BD32" i="19"/>
  <c r="BC34" i="19"/>
  <c r="BB35" i="19"/>
  <c r="BB36" i="19"/>
  <c r="BC13" i="19" l="1"/>
  <c r="BC14" i="19" s="1"/>
  <c r="BB24" i="19"/>
  <c r="AQ26" i="19"/>
  <c r="BC49" i="19"/>
  <c r="BC50" i="19" s="1"/>
  <c r="BD23" i="19"/>
  <c r="AR25" i="19"/>
  <c r="AQ37" i="19"/>
  <c r="AQ38" i="19" s="1"/>
  <c r="BC35" i="19"/>
  <c r="BC36" i="19"/>
  <c r="BE21" i="19"/>
  <c r="BE22" i="19"/>
  <c r="BE32" i="19"/>
  <c r="BD33" i="19"/>
  <c r="BD34" i="19"/>
  <c r="BD13" i="19" l="1"/>
  <c r="BD14" i="19" s="1"/>
  <c r="AR26" i="19"/>
  <c r="BC24" i="19"/>
  <c r="BD49" i="19"/>
  <c r="BD50" i="19" s="1"/>
  <c r="BE23" i="19"/>
  <c r="AS25" i="19"/>
  <c r="AR37" i="19"/>
  <c r="AR38" i="19" s="1"/>
  <c r="BD35" i="19"/>
  <c r="BE34" i="19"/>
  <c r="BE33" i="19"/>
  <c r="BF32" i="19"/>
  <c r="BD36" i="19"/>
  <c r="BF22" i="19"/>
  <c r="BF21" i="19"/>
  <c r="BE13" i="19" l="1"/>
  <c r="BE14" i="19" s="1"/>
  <c r="AS26" i="19"/>
  <c r="BD24" i="19"/>
  <c r="BE49" i="19"/>
  <c r="BE50" i="19" s="1"/>
  <c r="BF23" i="19"/>
  <c r="AT25" i="19"/>
  <c r="AS37" i="19"/>
  <c r="BE35" i="19"/>
  <c r="BG22" i="19"/>
  <c r="BG21" i="19"/>
  <c r="BE36" i="19"/>
  <c r="BF33" i="19"/>
  <c r="AT37" i="19" s="1"/>
  <c r="AT38" i="19" s="1"/>
  <c r="BG32" i="19"/>
  <c r="BF34" i="19"/>
  <c r="BF13" i="19" l="1"/>
  <c r="BF14" i="19" s="1"/>
  <c r="AT26" i="19"/>
  <c r="BE24" i="19"/>
  <c r="BF49" i="19"/>
  <c r="BF50" i="19" s="1"/>
  <c r="BG23" i="19"/>
  <c r="AU25" i="19"/>
  <c r="AS38" i="19"/>
  <c r="BF35" i="19"/>
  <c r="BF36" i="19"/>
  <c r="BG34" i="19"/>
  <c r="BH32" i="19"/>
  <c r="BG33" i="19"/>
  <c r="AU37" i="19" s="1"/>
  <c r="AU38" i="19" s="1"/>
  <c r="BH22" i="19"/>
  <c r="BH21" i="19"/>
  <c r="BG13" i="19" l="1"/>
  <c r="BG14" i="19" s="1"/>
  <c r="AU26" i="19"/>
  <c r="BF24" i="19"/>
  <c r="BG49" i="19"/>
  <c r="BG50" i="19" s="1"/>
  <c r="BH23" i="19"/>
  <c r="AV25" i="19"/>
  <c r="BG35" i="19"/>
  <c r="BG36" i="19"/>
  <c r="BI21" i="19"/>
  <c r="BI22" i="19"/>
  <c r="BI32" i="19"/>
  <c r="BH33" i="19"/>
  <c r="BH34" i="19"/>
  <c r="BH13" i="19" l="1"/>
  <c r="BH14" i="19" s="1"/>
  <c r="AV26" i="19"/>
  <c r="BG24" i="19"/>
  <c r="BH49" i="19"/>
  <c r="BH50" i="19" s="1"/>
  <c r="BI23" i="19"/>
  <c r="AW25" i="19"/>
  <c r="AV37" i="19"/>
  <c r="BH35" i="19"/>
  <c r="BI34" i="19"/>
  <c r="BI33" i="19"/>
  <c r="BJ32" i="19"/>
  <c r="BH36" i="19"/>
  <c r="BJ21" i="19"/>
  <c r="BJ22" i="19"/>
  <c r="BI13" i="19" l="1"/>
  <c r="BI14" i="19" s="1"/>
  <c r="AW26" i="19"/>
  <c r="BH24" i="19"/>
  <c r="BE25" i="19"/>
  <c r="BI49" i="19"/>
  <c r="BI50" i="19" s="1"/>
  <c r="BG25" i="19"/>
  <c r="BB25" i="19"/>
  <c r="BJ23" i="19"/>
  <c r="AX25" i="19"/>
  <c r="AY25" i="19"/>
  <c r="AZ25" i="19"/>
  <c r="BD25" i="19"/>
  <c r="BA25" i="19"/>
  <c r="BF25" i="19"/>
  <c r="BH25" i="19"/>
  <c r="BC25" i="19"/>
  <c r="AW37" i="19"/>
  <c r="AV38" i="19"/>
  <c r="BI35" i="19"/>
  <c r="BJ34" i="19"/>
  <c r="G66" i="19" s="1"/>
  <c r="BJ33" i="19"/>
  <c r="BD37" i="19" s="1"/>
  <c r="BD38" i="19" s="1"/>
  <c r="BI36" i="19"/>
  <c r="BJ13" i="19" l="1"/>
  <c r="BJ14" i="19" s="1"/>
  <c r="BA26" i="19"/>
  <c r="AX26" i="19"/>
  <c r="BB26" i="19"/>
  <c r="G65" i="19"/>
  <c r="BC26" i="19"/>
  <c r="BD26" i="19"/>
  <c r="BE26" i="19"/>
  <c r="AZ26" i="19"/>
  <c r="BG26" i="19"/>
  <c r="BH26" i="19"/>
  <c r="BF26" i="19"/>
  <c r="AY26" i="19"/>
  <c r="BI24" i="19"/>
  <c r="BJ49" i="19"/>
  <c r="BJ50" i="19" s="1"/>
  <c r="BA37" i="19"/>
  <c r="BA38" i="19" s="1"/>
  <c r="BC37" i="19"/>
  <c r="BC38" i="19" s="1"/>
  <c r="AY37" i="19"/>
  <c r="AY38" i="19" s="1"/>
  <c r="AX37" i="19"/>
  <c r="AX38" i="19" s="1"/>
  <c r="AZ37" i="19"/>
  <c r="AZ38" i="19" s="1"/>
  <c r="BF37" i="19"/>
  <c r="BF38" i="19" s="1"/>
  <c r="BB37" i="19"/>
  <c r="BB38" i="19" s="1"/>
  <c r="BG37" i="19"/>
  <c r="BH37" i="19"/>
  <c r="BH38" i="19" s="1"/>
  <c r="BE37" i="19"/>
  <c r="BE38" i="19" s="1"/>
  <c r="AW38" i="19"/>
  <c r="BJ35" i="19"/>
  <c r="BI37" i="19"/>
  <c r="BI38" i="19" s="1"/>
  <c r="BJ36" i="19"/>
  <c r="BK13" i="19" l="1"/>
  <c r="BK14" i="19" s="1"/>
  <c r="BJ24" i="19"/>
  <c r="BI25" i="19"/>
  <c r="BK49" i="19"/>
  <c r="BK50" i="19" s="1"/>
  <c r="BG38" i="19"/>
  <c r="BJ37" i="19"/>
  <c r="BJ38" i="19" s="1"/>
  <c r="BL13" i="19" l="1"/>
  <c r="BL14" i="19" s="1"/>
  <c r="BI26" i="19"/>
  <c r="G68" i="19"/>
  <c r="BJ25" i="19"/>
  <c r="BK24" i="19"/>
  <c r="BL49" i="19"/>
  <c r="BL50" i="19" s="1"/>
  <c r="BM13" i="19" l="1"/>
  <c r="BM14" i="19" s="1"/>
  <c r="BJ26" i="19"/>
  <c r="BL24" i="19"/>
  <c r="BK25" i="19"/>
  <c r="BM49" i="19"/>
  <c r="BM50" i="19" s="1"/>
  <c r="BN13" i="19" l="1"/>
  <c r="BN14" i="19" s="1"/>
  <c r="BK26" i="19"/>
  <c r="BL25" i="19"/>
  <c r="BM24" i="19"/>
  <c r="BN49" i="19"/>
  <c r="BN50" i="19" s="1"/>
  <c r="F15" i="3" a="1"/>
  <c r="F13" i="3" a="1"/>
  <c r="F9" i="9" s="1"/>
  <c r="F21" i="9" s="1"/>
  <c r="F11" i="3" a="1"/>
  <c r="H8" i="9" s="1"/>
  <c r="H20" i="9" s="1"/>
  <c r="F9" i="3" a="1"/>
  <c r="J7" i="9" s="1"/>
  <c r="J19" i="9" s="1"/>
  <c r="D83" i="18"/>
  <c r="J83" i="18" s="1"/>
  <c r="K83" i="18" s="1"/>
  <c r="K82" i="18"/>
  <c r="J82" i="18"/>
  <c r="E82" i="18"/>
  <c r="J81" i="18"/>
  <c r="E81" i="18"/>
  <c r="D66" i="18"/>
  <c r="E65" i="18"/>
  <c r="E60" i="18"/>
  <c r="D60" i="18"/>
  <c r="G59" i="18"/>
  <c r="E59" i="18"/>
  <c r="G58" i="18"/>
  <c r="E58" i="18"/>
  <c r="G57" i="18"/>
  <c r="E57" i="18"/>
  <c r="G56" i="18"/>
  <c r="E56" i="18"/>
  <c r="G55" i="18"/>
  <c r="E55" i="18"/>
  <c r="G54" i="18"/>
  <c r="E54" i="18"/>
  <c r="G53" i="18"/>
  <c r="E53" i="18"/>
  <c r="G52" i="18"/>
  <c r="E52" i="18"/>
  <c r="G51" i="18"/>
  <c r="E51" i="18"/>
  <c r="K50" i="18"/>
  <c r="G50" i="18"/>
  <c r="F50" i="18"/>
  <c r="D44" i="18"/>
  <c r="D43" i="18"/>
  <c r="J42" i="18"/>
  <c r="I42" i="18"/>
  <c r="D42" i="18"/>
  <c r="M41" i="18"/>
  <c r="N41" i="18" s="1"/>
  <c r="O41" i="18" s="1"/>
  <c r="P41" i="18" s="1"/>
  <c r="L41" i="18"/>
  <c r="K41" i="18"/>
  <c r="D41" i="18"/>
  <c r="L40" i="18"/>
  <c r="M40" i="18" s="1"/>
  <c r="N40" i="18" s="1"/>
  <c r="O40" i="18" s="1"/>
  <c r="P40" i="18" s="1"/>
  <c r="K40" i="18"/>
  <c r="D40" i="18"/>
  <c r="M39" i="18"/>
  <c r="L39" i="18"/>
  <c r="L42" i="18" s="1"/>
  <c r="K39" i="18"/>
  <c r="K42" i="18" s="1"/>
  <c r="M27" i="18"/>
  <c r="F27" i="18"/>
  <c r="F28" i="18" s="1"/>
  <c r="F29" i="18" s="1"/>
  <c r="F30" i="18" s="1"/>
  <c r="F31" i="18" s="1"/>
  <c r="F32" i="18" s="1"/>
  <c r="F25" i="18"/>
  <c r="F26" i="18" s="1"/>
  <c r="F24" i="18"/>
  <c r="D24" i="18"/>
  <c r="E23" i="18"/>
  <c r="G23" i="18" s="1"/>
  <c r="H23" i="18" s="1"/>
  <c r="I23" i="18" s="1"/>
  <c r="X8" i="18"/>
  <c r="G8" i="18"/>
  <c r="X7" i="18"/>
  <c r="G7" i="18"/>
  <c r="F7" i="18"/>
  <c r="T7" i="18" s="1"/>
  <c r="E7" i="18"/>
  <c r="P7" i="18" s="1"/>
  <c r="D7" i="18"/>
  <c r="L7" i="18" s="1"/>
  <c r="T30" i="15"/>
  <c r="U30" i="15"/>
  <c r="V30" i="15"/>
  <c r="W30" i="15"/>
  <c r="S30" i="15"/>
  <c r="D9" i="17"/>
  <c r="D8" i="17"/>
  <c r="D11" i="17"/>
  <c r="D14" i="17" s="1"/>
  <c r="F7" i="9" l="1"/>
  <c r="F19" i="9" s="1"/>
  <c r="L8" i="9"/>
  <c r="L20" i="9" s="1"/>
  <c r="N7" i="9"/>
  <c r="N19" i="9" s="1"/>
  <c r="M8" i="9"/>
  <c r="M20" i="9" s="1"/>
  <c r="I8" i="9"/>
  <c r="I20" i="9" s="1"/>
  <c r="F15" i="3"/>
  <c r="N10" i="20"/>
  <c r="N22" i="20" s="1"/>
  <c r="J10" i="20"/>
  <c r="J22" i="20" s="1"/>
  <c r="F10" i="20"/>
  <c r="F22" i="20" s="1"/>
  <c r="M10" i="20"/>
  <c r="M22" i="20" s="1"/>
  <c r="I10" i="20"/>
  <c r="I22" i="20" s="1"/>
  <c r="G10" i="20"/>
  <c r="G22" i="20" s="1"/>
  <c r="L10" i="20"/>
  <c r="L22" i="20" s="1"/>
  <c r="K10" i="20"/>
  <c r="K22" i="20" s="1"/>
  <c r="H10" i="20"/>
  <c r="H22" i="20" s="1"/>
  <c r="L9" i="9"/>
  <c r="L21" i="9" s="1"/>
  <c r="H9" i="9"/>
  <c r="H21" i="9" s="1"/>
  <c r="K10" i="9"/>
  <c r="K22" i="9" s="1"/>
  <c r="G10" i="9"/>
  <c r="G22" i="9" s="1"/>
  <c r="F9" i="3"/>
  <c r="L7" i="20"/>
  <c r="H7" i="20"/>
  <c r="K7" i="20"/>
  <c r="G7" i="20"/>
  <c r="M7" i="20"/>
  <c r="I7" i="20"/>
  <c r="N7" i="20"/>
  <c r="J7" i="20"/>
  <c r="F7" i="20"/>
  <c r="K9" i="9"/>
  <c r="K21" i="9" s="1"/>
  <c r="G9" i="9"/>
  <c r="G21" i="9" s="1"/>
  <c r="M7" i="9"/>
  <c r="M19" i="9" s="1"/>
  <c r="I7" i="9"/>
  <c r="I19" i="9" s="1"/>
  <c r="N10" i="9"/>
  <c r="N22" i="9" s="1"/>
  <c r="J10" i="9"/>
  <c r="J22" i="9" s="1"/>
  <c r="F10" i="9"/>
  <c r="F22" i="9" s="1"/>
  <c r="F11" i="3"/>
  <c r="N8" i="20"/>
  <c r="J8" i="20"/>
  <c r="M8" i="20"/>
  <c r="I8" i="20"/>
  <c r="K8" i="20"/>
  <c r="G8" i="20"/>
  <c r="H8" i="20"/>
  <c r="L8" i="20"/>
  <c r="N9" i="9"/>
  <c r="N21" i="9" s="1"/>
  <c r="J9" i="9"/>
  <c r="J21" i="9" s="1"/>
  <c r="K8" i="9"/>
  <c r="K20" i="9" s="1"/>
  <c r="G8" i="9"/>
  <c r="G20" i="9" s="1"/>
  <c r="L7" i="9"/>
  <c r="L19" i="9" s="1"/>
  <c r="H7" i="9"/>
  <c r="H19" i="9" s="1"/>
  <c r="M10" i="9"/>
  <c r="M22" i="9" s="1"/>
  <c r="I10" i="9"/>
  <c r="I22" i="9" s="1"/>
  <c r="F13" i="3"/>
  <c r="L9" i="20"/>
  <c r="L21" i="20" s="1"/>
  <c r="H9" i="20"/>
  <c r="H21" i="20" s="1"/>
  <c r="K9" i="20"/>
  <c r="K21" i="20" s="1"/>
  <c r="G9" i="20"/>
  <c r="G21" i="20" s="1"/>
  <c r="I9" i="20"/>
  <c r="I21" i="20" s="1"/>
  <c r="M9" i="20"/>
  <c r="M21" i="20" s="1"/>
  <c r="J9" i="20"/>
  <c r="J21" i="20" s="1"/>
  <c r="N9" i="20"/>
  <c r="N21" i="20" s="1"/>
  <c r="F9" i="20"/>
  <c r="F21" i="20" s="1"/>
  <c r="M9" i="9"/>
  <c r="M21" i="9" s="1"/>
  <c r="I9" i="9"/>
  <c r="I21" i="9" s="1"/>
  <c r="N8" i="9"/>
  <c r="N20" i="9" s="1"/>
  <c r="J8" i="9"/>
  <c r="J20" i="9" s="1"/>
  <c r="F8" i="9"/>
  <c r="F20" i="9" s="1"/>
  <c r="K7" i="9"/>
  <c r="K19" i="9" s="1"/>
  <c r="G7" i="9"/>
  <c r="G19" i="9" s="1"/>
  <c r="L10" i="9"/>
  <c r="L22" i="9" s="1"/>
  <c r="H10" i="9"/>
  <c r="H22" i="9" s="1"/>
  <c r="BO13" i="19"/>
  <c r="BO14" i="19" s="1"/>
  <c r="BL26" i="19"/>
  <c r="BN24" i="19"/>
  <c r="BM25" i="19"/>
  <c r="BO49" i="19"/>
  <c r="BO50" i="19" s="1"/>
  <c r="M7" i="18"/>
  <c r="R7" i="18"/>
  <c r="Q7" i="18"/>
  <c r="S7" i="18" s="1"/>
  <c r="V7" i="18"/>
  <c r="U7" i="18"/>
  <c r="W7" i="18" s="1"/>
  <c r="Y8" i="18"/>
  <c r="AA8" i="18" s="1"/>
  <c r="D25" i="18"/>
  <c r="E24" i="18"/>
  <c r="G24" i="18" s="1"/>
  <c r="H24" i="18" s="1"/>
  <c r="I24" i="18" s="1"/>
  <c r="D8" i="18" s="1"/>
  <c r="Y7" i="18"/>
  <c r="AA7" i="18" s="1"/>
  <c r="H7" i="18"/>
  <c r="K81" i="18"/>
  <c r="M42" i="18"/>
  <c r="N39" i="18"/>
  <c r="D45" i="18"/>
  <c r="D46" i="18" s="1"/>
  <c r="D47" i="18" s="1"/>
  <c r="D67" i="18"/>
  <c r="E66" i="18"/>
  <c r="F8" i="18" s="1"/>
  <c r="T8" i="18" s="1"/>
  <c r="D84" i="18"/>
  <c r="K51" i="18"/>
  <c r="E83" i="18"/>
  <c r="G9" i="18" s="1"/>
  <c r="X9" i="18" s="1"/>
  <c r="K23" i="3" l="1"/>
  <c r="M23" i="3"/>
  <c r="M51" i="20"/>
  <c r="N34" i="3" s="1"/>
  <c r="M52" i="20"/>
  <c r="N38" i="3" s="1"/>
  <c r="M20" i="20"/>
  <c r="N21" i="3" s="1"/>
  <c r="M38" i="20"/>
  <c r="M30" i="20"/>
  <c r="E8" i="20"/>
  <c r="E8" i="9"/>
  <c r="E20" i="9" s="1"/>
  <c r="M44" i="20"/>
  <c r="N36" i="3" s="1"/>
  <c r="M19" i="20"/>
  <c r="N19" i="3" s="1"/>
  <c r="M29" i="20"/>
  <c r="M37" i="20"/>
  <c r="G23" i="3"/>
  <c r="G20" i="20"/>
  <c r="H21" i="3" s="1"/>
  <c r="G51" i="20"/>
  <c r="H34" i="3" s="1"/>
  <c r="G52" i="20"/>
  <c r="H38" i="3" s="1"/>
  <c r="G30" i="20"/>
  <c r="G38" i="20"/>
  <c r="J44" i="20"/>
  <c r="K36" i="3" s="1"/>
  <c r="J19" i="20"/>
  <c r="K19" i="3" s="1"/>
  <c r="J37" i="20"/>
  <c r="J29" i="20"/>
  <c r="E7" i="20"/>
  <c r="E7" i="9"/>
  <c r="E19" i="9" s="1"/>
  <c r="H23" i="3"/>
  <c r="E9" i="20"/>
  <c r="E21" i="20" s="1"/>
  <c r="E9" i="9"/>
  <c r="E21" i="9" s="1"/>
  <c r="K51" i="20"/>
  <c r="L34" i="3" s="1"/>
  <c r="K52" i="20"/>
  <c r="L38" i="3" s="1"/>
  <c r="K20" i="20"/>
  <c r="L21" i="3" s="1"/>
  <c r="K38" i="20"/>
  <c r="K30" i="20"/>
  <c r="J51" i="20"/>
  <c r="K34" i="3" s="1"/>
  <c r="J52" i="20"/>
  <c r="K38" i="3" s="1"/>
  <c r="J20" i="20"/>
  <c r="K21" i="3" s="1"/>
  <c r="J30" i="20"/>
  <c r="J38" i="20"/>
  <c r="N44" i="20"/>
  <c r="O36" i="3" s="1"/>
  <c r="N19" i="20"/>
  <c r="O19" i="3" s="1"/>
  <c r="N37" i="20"/>
  <c r="N29" i="20"/>
  <c r="K44" i="20"/>
  <c r="L36" i="3" s="1"/>
  <c r="K19" i="20"/>
  <c r="L19" i="3" s="1"/>
  <c r="K37" i="20"/>
  <c r="K29" i="20"/>
  <c r="I23" i="3"/>
  <c r="J23" i="3"/>
  <c r="O23" i="3"/>
  <c r="H52" i="20"/>
  <c r="I38" i="3" s="1"/>
  <c r="H51" i="20"/>
  <c r="I34" i="3" s="1"/>
  <c r="H20" i="20"/>
  <c r="I21" i="3" s="1"/>
  <c r="H38" i="20"/>
  <c r="H30" i="20"/>
  <c r="F44" i="20"/>
  <c r="G36" i="3" s="1"/>
  <c r="F29" i="20"/>
  <c r="F37" i="20"/>
  <c r="F19" i="20"/>
  <c r="G19" i="3" s="1"/>
  <c r="L44" i="20"/>
  <c r="M36" i="3" s="1"/>
  <c r="L19" i="20"/>
  <c r="M19" i="3" s="1"/>
  <c r="L37" i="20"/>
  <c r="L29" i="20"/>
  <c r="F51" i="20"/>
  <c r="G34" i="3" s="1"/>
  <c r="F52" i="20"/>
  <c r="G38" i="3" s="1"/>
  <c r="F20" i="20"/>
  <c r="G21" i="3" s="1"/>
  <c r="F38" i="20"/>
  <c r="F30" i="20"/>
  <c r="G44" i="20"/>
  <c r="H36" i="3" s="1"/>
  <c r="G37" i="20"/>
  <c r="G29" i="20"/>
  <c r="G19" i="20"/>
  <c r="H19" i="3" s="1"/>
  <c r="L52" i="20"/>
  <c r="M38" i="3" s="1"/>
  <c r="L51" i="20"/>
  <c r="M34" i="3" s="1"/>
  <c r="L20" i="20"/>
  <c r="M21" i="3" s="1"/>
  <c r="L38" i="20"/>
  <c r="L30" i="20"/>
  <c r="I51" i="20"/>
  <c r="J34" i="3" s="1"/>
  <c r="I52" i="20"/>
  <c r="J38" i="3" s="1"/>
  <c r="I20" i="20"/>
  <c r="J21" i="3" s="1"/>
  <c r="I38" i="20"/>
  <c r="I30" i="20"/>
  <c r="N51" i="20"/>
  <c r="O34" i="3" s="1"/>
  <c r="N52" i="20"/>
  <c r="O38" i="3" s="1"/>
  <c r="N20" i="20"/>
  <c r="O21" i="3" s="1"/>
  <c r="N30" i="20"/>
  <c r="N38" i="20"/>
  <c r="I44" i="20"/>
  <c r="J36" i="3" s="1"/>
  <c r="I19" i="20"/>
  <c r="J19" i="3" s="1"/>
  <c r="I29" i="20"/>
  <c r="J30" i="3" s="1"/>
  <c r="I37" i="20"/>
  <c r="H44" i="20"/>
  <c r="I36" i="3" s="1"/>
  <c r="H19" i="20"/>
  <c r="I19" i="3" s="1"/>
  <c r="H37" i="20"/>
  <c r="I32" i="3" s="1"/>
  <c r="H29" i="20"/>
  <c r="I30" i="3" s="1"/>
  <c r="L23" i="3"/>
  <c r="N23" i="3"/>
  <c r="E10" i="20"/>
  <c r="E22" i="20" s="1"/>
  <c r="E10" i="9"/>
  <c r="E22" i="9" s="1"/>
  <c r="BP13" i="19"/>
  <c r="BP14" i="19" s="1"/>
  <c r="BM26" i="19"/>
  <c r="BO24" i="19"/>
  <c r="BN25" i="19"/>
  <c r="BP49" i="19"/>
  <c r="BP50" i="19" s="1"/>
  <c r="Y9" i="18"/>
  <c r="Z9" i="18" s="1"/>
  <c r="E67" i="18"/>
  <c r="D68" i="18"/>
  <c r="L8" i="18"/>
  <c r="Z8" i="18"/>
  <c r="J84" i="18"/>
  <c r="E84" i="18"/>
  <c r="G10" i="18" s="1"/>
  <c r="X10" i="18" s="1"/>
  <c r="D85" i="18"/>
  <c r="Z7" i="18"/>
  <c r="E25" i="18"/>
  <c r="G25" i="18" s="1"/>
  <c r="H25" i="18" s="1"/>
  <c r="I25" i="18" s="1"/>
  <c r="D9" i="18" s="1"/>
  <c r="D26" i="18"/>
  <c r="N7" i="18"/>
  <c r="K52" i="18"/>
  <c r="F51" i="18"/>
  <c r="U8" i="18"/>
  <c r="V8" i="18" s="1"/>
  <c r="O39" i="18"/>
  <c r="N42" i="18"/>
  <c r="O7" i="18"/>
  <c r="M30" i="3" l="1"/>
  <c r="F23" i="3"/>
  <c r="H30" i="3"/>
  <c r="H32" i="3"/>
  <c r="M32" i="3"/>
  <c r="G30" i="3"/>
  <c r="L30" i="3"/>
  <c r="N30" i="3"/>
  <c r="L32" i="3"/>
  <c r="J32" i="3"/>
  <c r="O30" i="3"/>
  <c r="K32" i="3"/>
  <c r="E44" i="20"/>
  <c r="F36" i="3" s="1"/>
  <c r="E19" i="20"/>
  <c r="F19" i="3" s="1"/>
  <c r="E37" i="20"/>
  <c r="E29" i="20"/>
  <c r="E51" i="20"/>
  <c r="F34" i="3" s="1"/>
  <c r="E52" i="20"/>
  <c r="F38" i="3" s="1"/>
  <c r="E30" i="20"/>
  <c r="E20" i="20"/>
  <c r="F21" i="3" s="1"/>
  <c r="E38" i="20"/>
  <c r="G32" i="3"/>
  <c r="O32" i="3"/>
  <c r="N32" i="3"/>
  <c r="K30" i="3"/>
  <c r="BQ13" i="19"/>
  <c r="BQ14" i="19" s="1"/>
  <c r="BN26" i="19"/>
  <c r="BO25" i="19"/>
  <c r="BP24" i="19"/>
  <c r="BQ49" i="19"/>
  <c r="BQ50" i="19" s="1"/>
  <c r="F9" i="18"/>
  <c r="W8" i="18"/>
  <c r="E8" i="18"/>
  <c r="K84" i="18"/>
  <c r="M8" i="18"/>
  <c r="AA9" i="18"/>
  <c r="Y10" i="18"/>
  <c r="Z10" i="18" s="1"/>
  <c r="AA10" i="18"/>
  <c r="L9" i="18"/>
  <c r="H9" i="18"/>
  <c r="K53" i="18"/>
  <c r="F52" i="18"/>
  <c r="E9" i="18" s="1"/>
  <c r="P9" i="18" s="1"/>
  <c r="P39" i="18"/>
  <c r="O42" i="18"/>
  <c r="P42" i="18" s="1"/>
  <c r="D27" i="18"/>
  <c r="E26" i="18"/>
  <c r="G26" i="18" s="1"/>
  <c r="H26" i="18" s="1"/>
  <c r="I26" i="18" s="1"/>
  <c r="J85" i="18"/>
  <c r="K85" i="18" s="1"/>
  <c r="E85" i="18"/>
  <c r="G11" i="18" s="1"/>
  <c r="X11" i="18" s="1"/>
  <c r="D86" i="18"/>
  <c r="D69" i="18"/>
  <c r="E68" i="18"/>
  <c r="T10" i="18" s="1"/>
  <c r="F32" i="3" l="1"/>
  <c r="F30" i="3"/>
  <c r="BR13" i="19"/>
  <c r="BR14" i="19" s="1"/>
  <c r="BQ24" i="19"/>
  <c r="BP25" i="19"/>
  <c r="BO26" i="19"/>
  <c r="BR49" i="19"/>
  <c r="BR50" i="19" s="1"/>
  <c r="E69" i="18"/>
  <c r="D70" i="18"/>
  <c r="Q9" i="18"/>
  <c r="R9" i="18" s="1"/>
  <c r="T9" i="18"/>
  <c r="Y11" i="18"/>
  <c r="AA11" i="18" s="1"/>
  <c r="K54" i="18"/>
  <c r="F53" i="18"/>
  <c r="E10" i="18" s="1"/>
  <c r="P10" i="18" s="1"/>
  <c r="O8" i="18"/>
  <c r="P8" i="18"/>
  <c r="H8" i="18"/>
  <c r="D10" i="18"/>
  <c r="J86" i="18"/>
  <c r="K86" i="18" s="1"/>
  <c r="E86" i="18"/>
  <c r="G12" i="18" s="1"/>
  <c r="D87" i="18"/>
  <c r="E27" i="18"/>
  <c r="G27" i="18" s="1"/>
  <c r="H27" i="18" s="1"/>
  <c r="I27" i="18" s="1"/>
  <c r="D11" i="18" s="1"/>
  <c r="D28" i="18"/>
  <c r="AB9" i="18"/>
  <c r="M9" i="18"/>
  <c r="N9" i="18" s="1"/>
  <c r="N8" i="18"/>
  <c r="U10" i="18"/>
  <c r="W10" i="18" s="1"/>
  <c r="BS13" i="19" l="1"/>
  <c r="BS14" i="19" s="1"/>
  <c r="BP26" i="19"/>
  <c r="BQ25" i="19"/>
  <c r="BR24" i="19"/>
  <c r="BS49" i="19"/>
  <c r="BS50" i="19" s="1"/>
  <c r="D29" i="18"/>
  <c r="E28" i="18"/>
  <c r="V10" i="18"/>
  <c r="L11" i="18"/>
  <c r="Q10" i="18"/>
  <c r="R10" i="18" s="1"/>
  <c r="Z11" i="18"/>
  <c r="S9" i="18"/>
  <c r="D71" i="18"/>
  <c r="E70" i="18"/>
  <c r="F12" i="18" s="1"/>
  <c r="T12" i="18" s="1"/>
  <c r="J87" i="18"/>
  <c r="K87" i="18" s="1"/>
  <c r="E87" i="18"/>
  <c r="G13" i="18" s="1"/>
  <c r="X13" i="18" s="1"/>
  <c r="D88" i="18"/>
  <c r="L10" i="18"/>
  <c r="H10" i="18"/>
  <c r="R8" i="18"/>
  <c r="AD8" i="18" s="1"/>
  <c r="Q8" i="18"/>
  <c r="AC8" i="18" s="1"/>
  <c r="S8" i="18"/>
  <c r="AB8" i="18"/>
  <c r="K55" i="18"/>
  <c r="F54" i="18"/>
  <c r="F11" i="18"/>
  <c r="O9" i="18"/>
  <c r="X12" i="18"/>
  <c r="V9" i="18"/>
  <c r="AD9" i="18" s="1"/>
  <c r="U9" i="18"/>
  <c r="AC9" i="18" s="1"/>
  <c r="BT13" i="19" l="1"/>
  <c r="BT14" i="19" s="1"/>
  <c r="BR25" i="19"/>
  <c r="BS24" i="19"/>
  <c r="BQ26" i="19"/>
  <c r="BT49" i="19"/>
  <c r="BT50" i="19" s="1"/>
  <c r="U12" i="18"/>
  <c r="W12" i="18" s="1"/>
  <c r="G28" i="18"/>
  <c r="H28" i="18" s="1"/>
  <c r="I28" i="18" s="1"/>
  <c r="D12" i="18" s="1"/>
  <c r="E11" i="18"/>
  <c r="E71" i="18"/>
  <c r="F13" i="18" s="1"/>
  <c r="T13" i="18" s="1"/>
  <c r="D72" i="18"/>
  <c r="S10" i="18"/>
  <c r="N11" i="18"/>
  <c r="M11" i="18"/>
  <c r="O11" i="18"/>
  <c r="D30" i="18"/>
  <c r="E29" i="18"/>
  <c r="G29" i="18" s="1"/>
  <c r="H29" i="18" s="1"/>
  <c r="I29" i="18" s="1"/>
  <c r="D13" i="18" s="1"/>
  <c r="W9" i="18"/>
  <c r="K56" i="18"/>
  <c r="F55" i="18"/>
  <c r="E12" i="18" s="1"/>
  <c r="P12" i="18" s="1"/>
  <c r="N10" i="18"/>
  <c r="AD10" i="18" s="1"/>
  <c r="AB10" i="18"/>
  <c r="O10" i="18"/>
  <c r="M10" i="18"/>
  <c r="AC10" i="18" s="1"/>
  <c r="Z13" i="18"/>
  <c r="Y13" i="18"/>
  <c r="AA13" i="18" s="1"/>
  <c r="Z12" i="18"/>
  <c r="Y12" i="18"/>
  <c r="AA12" i="18" s="1"/>
  <c r="T11" i="18"/>
  <c r="J88" i="18"/>
  <c r="E88" i="18"/>
  <c r="G14" i="18" s="1"/>
  <c r="X14" i="18" s="1"/>
  <c r="D89" i="18"/>
  <c r="D32" i="12"/>
  <c r="J22" i="12"/>
  <c r="J23" i="12" s="1"/>
  <c r="C30" i="12"/>
  <c r="D25" i="14"/>
  <c r="H13" i="14"/>
  <c r="O13" i="14" s="1"/>
  <c r="G13" i="14"/>
  <c r="N13" i="14" s="1"/>
  <c r="F13" i="14"/>
  <c r="M13" i="14" s="1"/>
  <c r="E13" i="14"/>
  <c r="E24" i="14" s="1"/>
  <c r="D13" i="14"/>
  <c r="K13" i="14" s="1"/>
  <c r="R30" i="15"/>
  <c r="D24" i="14"/>
  <c r="J22" i="14"/>
  <c r="J21" i="14"/>
  <c r="J20" i="14"/>
  <c r="J19" i="14"/>
  <c r="J18" i="14"/>
  <c r="J17" i="14"/>
  <c r="J16" i="14"/>
  <c r="J15" i="14"/>
  <c r="J14" i="14"/>
  <c r="J10" i="14"/>
  <c r="O5" i="14"/>
  <c r="O24" i="14" s="1"/>
  <c r="N5" i="14"/>
  <c r="N24" i="14" s="1"/>
  <c r="M5" i="14"/>
  <c r="M24" i="14" s="1"/>
  <c r="L5" i="14"/>
  <c r="L24" i="14" s="1"/>
  <c r="K5" i="14"/>
  <c r="K24" i="14" s="1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42" i="12"/>
  <c r="B43" i="12" s="1"/>
  <c r="B44" i="12" s="1"/>
  <c r="J18" i="12"/>
  <c r="C17" i="12"/>
  <c r="D17" i="12" s="1"/>
  <c r="E17" i="12" s="1"/>
  <c r="F17" i="12" s="1"/>
  <c r="G17" i="12" s="1"/>
  <c r="B16" i="12"/>
  <c r="J10" i="12"/>
  <c r="BU13" i="19" l="1"/>
  <c r="BU14" i="19" s="1"/>
  <c r="BS25" i="19"/>
  <c r="BT24" i="19"/>
  <c r="BR26" i="19"/>
  <c r="D30" i="12"/>
  <c r="BU49" i="19"/>
  <c r="BU50" i="19" s="1"/>
  <c r="J89" i="18"/>
  <c r="K89" i="18" s="1"/>
  <c r="E89" i="18"/>
  <c r="G15" i="18" s="1"/>
  <c r="X15" i="18" s="1"/>
  <c r="D90" i="18"/>
  <c r="Y14" i="18"/>
  <c r="Z14" i="18" s="1"/>
  <c r="AA14" i="18"/>
  <c r="V11" i="18"/>
  <c r="U11" i="18"/>
  <c r="W11" i="18"/>
  <c r="D73" i="18"/>
  <c r="E72" i="18"/>
  <c r="F14" i="18" s="1"/>
  <c r="T14" i="18" s="1"/>
  <c r="V12" i="18"/>
  <c r="P11" i="18"/>
  <c r="H11" i="18"/>
  <c r="K88" i="18"/>
  <c r="R12" i="18"/>
  <c r="Q12" i="18"/>
  <c r="S12" i="18"/>
  <c r="L13" i="18"/>
  <c r="H13" i="18"/>
  <c r="U13" i="18"/>
  <c r="W13" i="18" s="1"/>
  <c r="L12" i="18"/>
  <c r="H12" i="18"/>
  <c r="K57" i="18"/>
  <c r="F56" i="18"/>
  <c r="E13" i="18" s="1"/>
  <c r="P13" i="18" s="1"/>
  <c r="D31" i="18"/>
  <c r="E30" i="18"/>
  <c r="G30" i="18" s="1"/>
  <c r="H30" i="18" s="1"/>
  <c r="I30" i="18" s="1"/>
  <c r="D14" i="18" s="1"/>
  <c r="F24" i="14"/>
  <c r="J25" i="12"/>
  <c r="C16" i="12" s="1"/>
  <c r="C18" i="12" s="1"/>
  <c r="B41" i="12"/>
  <c r="B40" i="12" s="1"/>
  <c r="D27" i="13"/>
  <c r="H27" i="13"/>
  <c r="L27" i="13"/>
  <c r="P27" i="13"/>
  <c r="T27" i="13"/>
  <c r="X27" i="13"/>
  <c r="AB27" i="13"/>
  <c r="AF27" i="13"/>
  <c r="AJ27" i="13"/>
  <c r="AN27" i="13"/>
  <c r="AR27" i="13"/>
  <c r="AV27" i="13"/>
  <c r="AZ27" i="13"/>
  <c r="BD27" i="13"/>
  <c r="BH27" i="13"/>
  <c r="E27" i="13"/>
  <c r="I27" i="13"/>
  <c r="M27" i="13"/>
  <c r="Q27" i="13"/>
  <c r="U27" i="13"/>
  <c r="Y27" i="13"/>
  <c r="AC27" i="13"/>
  <c r="AG27" i="13"/>
  <c r="AK27" i="13"/>
  <c r="AO27" i="13"/>
  <c r="AS27" i="13"/>
  <c r="AW27" i="13"/>
  <c r="BA27" i="13"/>
  <c r="BE27" i="13"/>
  <c r="BI27" i="13"/>
  <c r="F27" i="13"/>
  <c r="J27" i="13"/>
  <c r="N27" i="13"/>
  <c r="R27" i="13"/>
  <c r="V27" i="13"/>
  <c r="Z27" i="13"/>
  <c r="AD27" i="13"/>
  <c r="AH27" i="13"/>
  <c r="AL27" i="13"/>
  <c r="AP27" i="13"/>
  <c r="AT27" i="13"/>
  <c r="AX27" i="13"/>
  <c r="BB27" i="13"/>
  <c r="BF27" i="13"/>
  <c r="BJ27" i="13"/>
  <c r="C27" i="13"/>
  <c r="G27" i="13"/>
  <c r="K27" i="13"/>
  <c r="O27" i="13"/>
  <c r="S27" i="13"/>
  <c r="W27" i="13"/>
  <c r="AA27" i="13"/>
  <c r="AE27" i="13"/>
  <c r="AI27" i="13"/>
  <c r="AM27" i="13"/>
  <c r="AQ27" i="13"/>
  <c r="AU27" i="13"/>
  <c r="AY27" i="13"/>
  <c r="BC27" i="13"/>
  <c r="BG27" i="13"/>
  <c r="H24" i="14"/>
  <c r="G24" i="14"/>
  <c r="L13" i="14"/>
  <c r="BV13" i="19" l="1"/>
  <c r="BV14" i="19" s="1"/>
  <c r="BS26" i="19"/>
  <c r="BU24" i="19"/>
  <c r="BT25" i="19"/>
  <c r="BV49" i="19"/>
  <c r="BV50" i="19" s="1"/>
  <c r="D32" i="18"/>
  <c r="E31" i="18"/>
  <c r="G31" i="18" s="1"/>
  <c r="H31" i="18" s="1"/>
  <c r="I31" i="18" s="1"/>
  <c r="D15" i="18" s="1"/>
  <c r="V13" i="18"/>
  <c r="R13" i="18"/>
  <c r="Q13" i="18"/>
  <c r="S13" i="18" s="1"/>
  <c r="M12" i="18"/>
  <c r="AC12" i="18" s="1"/>
  <c r="AB12" i="18"/>
  <c r="U14" i="18"/>
  <c r="W14" i="18" s="1"/>
  <c r="N13" i="18"/>
  <c r="M13" i="18"/>
  <c r="AB13" i="18"/>
  <c r="O13" i="18"/>
  <c r="R11" i="18"/>
  <c r="AD11" i="18" s="1"/>
  <c r="Q11" i="18"/>
  <c r="AC11" i="18" s="1"/>
  <c r="S11" i="18"/>
  <c r="AB11" i="18"/>
  <c r="Y15" i="18"/>
  <c r="AA15" i="18" s="1"/>
  <c r="L14" i="18"/>
  <c r="K58" i="18"/>
  <c r="F57" i="18"/>
  <c r="E14" i="18" s="1"/>
  <c r="P14" i="18" s="1"/>
  <c r="E73" i="18"/>
  <c r="F15" i="18" s="1"/>
  <c r="T15" i="18" s="1"/>
  <c r="D74" i="18"/>
  <c r="E74" i="18" s="1"/>
  <c r="J90" i="18"/>
  <c r="E90" i="18"/>
  <c r="E30" i="13"/>
  <c r="D16" i="12"/>
  <c r="D18" i="12" s="1"/>
  <c r="E39" i="12"/>
  <c r="G30" i="13"/>
  <c r="C30" i="13"/>
  <c r="E46" i="15" s="1"/>
  <c r="F30" i="13"/>
  <c r="D30" i="13"/>
  <c r="BW13" i="19" l="1"/>
  <c r="BW14" i="19" s="1"/>
  <c r="BU25" i="19"/>
  <c r="BV24" i="19"/>
  <c r="BT26" i="19"/>
  <c r="J51" i="15"/>
  <c r="J50" i="15"/>
  <c r="J49" i="15"/>
  <c r="J48" i="15"/>
  <c r="J47" i="15"/>
  <c r="BW49" i="19"/>
  <c r="BW50" i="19" s="1"/>
  <c r="E16" i="12"/>
  <c r="E18" i="12" s="1"/>
  <c r="K59" i="18"/>
  <c r="F58" i="18"/>
  <c r="E15" i="18" s="1"/>
  <c r="P15" i="18" s="1"/>
  <c r="U15" i="18"/>
  <c r="W15" i="18" s="1"/>
  <c r="H14" i="18"/>
  <c r="Z15" i="18"/>
  <c r="AC13" i="18"/>
  <c r="V14" i="18"/>
  <c r="N12" i="18"/>
  <c r="AD12" i="18" s="1"/>
  <c r="K90" i="18"/>
  <c r="K91" i="18" s="1"/>
  <c r="J91" i="18"/>
  <c r="F16" i="18"/>
  <c r="E75" i="18"/>
  <c r="G16" i="18"/>
  <c r="E91" i="18"/>
  <c r="M14" i="18"/>
  <c r="AC14" i="18" s="1"/>
  <c r="AB14" i="18"/>
  <c r="AD13" i="18"/>
  <c r="O12" i="18"/>
  <c r="L15" i="18"/>
  <c r="H15" i="18"/>
  <c r="R14" i="18"/>
  <c r="Q14" i="18"/>
  <c r="S14" i="18" s="1"/>
  <c r="E32" i="18"/>
  <c r="D33" i="18"/>
  <c r="D39" i="12"/>
  <c r="C39" i="12" s="1"/>
  <c r="F39" i="12"/>
  <c r="G39" i="12" s="1"/>
  <c r="F16" i="12" l="1"/>
  <c r="G16" i="12" s="1"/>
  <c r="BX13" i="19"/>
  <c r="BX14" i="19" s="1"/>
  <c r="H68" i="19"/>
  <c r="BV25" i="19"/>
  <c r="BW24" i="19"/>
  <c r="BU26" i="19"/>
  <c r="BX49" i="19"/>
  <c r="BX50" i="19" s="1"/>
  <c r="G32" i="18"/>
  <c r="H32" i="18" s="1"/>
  <c r="I32" i="18" s="1"/>
  <c r="E33" i="18"/>
  <c r="X16" i="18"/>
  <c r="G17" i="18"/>
  <c r="V15" i="18"/>
  <c r="N14" i="18"/>
  <c r="AD14" i="18" s="1"/>
  <c r="T16" i="18"/>
  <c r="F17" i="18"/>
  <c r="R15" i="18"/>
  <c r="Q15" i="18"/>
  <c r="S15" i="18" s="1"/>
  <c r="N15" i="18"/>
  <c r="AD15" i="18" s="1"/>
  <c r="M15" i="18"/>
  <c r="AC15" i="18" s="1"/>
  <c r="AB15" i="18"/>
  <c r="O14" i="18"/>
  <c r="F59" i="18"/>
  <c r="K60" i="18"/>
  <c r="F18" i="12" l="1"/>
  <c r="BV26" i="19"/>
  <c r="BY13" i="19"/>
  <c r="BY14" i="19" s="1"/>
  <c r="BX24" i="19"/>
  <c r="BW25" i="19"/>
  <c r="BY49" i="19"/>
  <c r="BY50" i="19" s="1"/>
  <c r="O15" i="18"/>
  <c r="U16" i="18"/>
  <c r="V16" i="18" s="1"/>
  <c r="W16" i="18"/>
  <c r="T17" i="18"/>
  <c r="Y16" i="18"/>
  <c r="Z16" i="18" s="1"/>
  <c r="AA16" i="18"/>
  <c r="X17" i="18"/>
  <c r="E16" i="18"/>
  <c r="F60" i="18"/>
  <c r="D16" i="18"/>
  <c r="I33" i="18"/>
  <c r="G18" i="12"/>
  <c r="BZ13" i="19" l="1"/>
  <c r="BZ14" i="19" s="1"/>
  <c r="BW26" i="19"/>
  <c r="BX25" i="19"/>
  <c r="BY24" i="19"/>
  <c r="BZ49" i="19"/>
  <c r="BZ50" i="19" s="1"/>
  <c r="H16" i="18"/>
  <c r="H17" i="18" s="1"/>
  <c r="D17" i="18"/>
  <c r="P16" i="18"/>
  <c r="E17" i="18"/>
  <c r="D22" i="9"/>
  <c r="D21" i="9"/>
  <c r="D20" i="9"/>
  <c r="B20" i="9"/>
  <c r="B21" i="9" s="1"/>
  <c r="B22" i="9" s="1"/>
  <c r="D19" i="9"/>
  <c r="X31" i="6"/>
  <c r="X3" i="6"/>
  <c r="X19" i="5"/>
  <c r="X83" i="5" s="1"/>
  <c r="O44" i="4" s="1"/>
  <c r="V19" i="5"/>
  <c r="V83" i="5" s="1"/>
  <c r="N44" i="4" s="1"/>
  <c r="T19" i="5"/>
  <c r="T83" i="5" s="1"/>
  <c r="M44" i="4" s="1"/>
  <c r="R19" i="5"/>
  <c r="R83" i="5" s="1"/>
  <c r="L44" i="4" s="1"/>
  <c r="P19" i="5"/>
  <c r="P83" i="5" s="1"/>
  <c r="K44" i="4" s="1"/>
  <c r="N19" i="5"/>
  <c r="L19" i="5"/>
  <c r="L83" i="5" s="1"/>
  <c r="I44" i="4" s="1"/>
  <c r="J19" i="5"/>
  <c r="J83" i="5" s="1"/>
  <c r="H44" i="4" s="1"/>
  <c r="H19" i="5"/>
  <c r="F19" i="5"/>
  <c r="F83" i="5" s="1"/>
  <c r="F44" i="4" s="1"/>
  <c r="X3" i="5"/>
  <c r="O6" i="4"/>
  <c r="J19" i="6"/>
  <c r="H19" i="6"/>
  <c r="F19" i="6"/>
  <c r="T31" i="6"/>
  <c r="R31" i="6"/>
  <c r="P31" i="6"/>
  <c r="N31" i="6"/>
  <c r="L31" i="6"/>
  <c r="J31" i="6"/>
  <c r="H31" i="6"/>
  <c r="F31" i="6"/>
  <c r="X13" i="6"/>
  <c r="V13" i="6"/>
  <c r="T13" i="6"/>
  <c r="N13" i="6"/>
  <c r="L13" i="6"/>
  <c r="D9" i="14"/>
  <c r="D15" i="3"/>
  <c r="B9" i="14" s="1"/>
  <c r="J9" i="14" s="1"/>
  <c r="E8" i="14"/>
  <c r="D8" i="14"/>
  <c r="D13" i="3"/>
  <c r="B8" i="14" s="1"/>
  <c r="J8" i="14" s="1"/>
  <c r="D11" i="3"/>
  <c r="B7" i="14" s="1"/>
  <c r="J7" i="14" s="1"/>
  <c r="D9" i="3"/>
  <c r="B6" i="14" s="1"/>
  <c r="J6" i="14" s="1"/>
  <c r="O5" i="3"/>
  <c r="N5" i="3"/>
  <c r="M5" i="3"/>
  <c r="L5" i="3"/>
  <c r="K5" i="3"/>
  <c r="J5" i="3"/>
  <c r="I5" i="3"/>
  <c r="H5" i="3"/>
  <c r="G5" i="3"/>
  <c r="F5" i="3"/>
  <c r="O3" i="3"/>
  <c r="O5" i="2"/>
  <c r="F13" i="1"/>
  <c r="B11" i="1"/>
  <c r="B13" i="1" s="1"/>
  <c r="B15" i="1" s="1"/>
  <c r="H6" i="20" l="1"/>
  <c r="H6" i="9"/>
  <c r="H12" i="9" s="1"/>
  <c r="L6" i="20"/>
  <c r="L6" i="9"/>
  <c r="L12" i="9" s="1"/>
  <c r="E6" i="20"/>
  <c r="E6" i="9"/>
  <c r="E12" i="9" s="1"/>
  <c r="I6" i="20"/>
  <c r="I6" i="9"/>
  <c r="I12" i="9" s="1"/>
  <c r="M6" i="20"/>
  <c r="M6" i="9"/>
  <c r="M12" i="9" s="1"/>
  <c r="G6" i="20"/>
  <c r="G6" i="9"/>
  <c r="G12" i="9" s="1"/>
  <c r="K6" i="20"/>
  <c r="K6" i="9"/>
  <c r="K12" i="9" s="1"/>
  <c r="F6" i="20"/>
  <c r="F6" i="9"/>
  <c r="F12" i="9" s="1"/>
  <c r="J6" i="20"/>
  <c r="J6" i="9"/>
  <c r="J12" i="9" s="1"/>
  <c r="N6" i="20"/>
  <c r="N6" i="9"/>
  <c r="N12" i="9" s="1"/>
  <c r="M50" i="4"/>
  <c r="K50" i="4"/>
  <c r="O50" i="4"/>
  <c r="L50" i="4"/>
  <c r="CA13" i="19"/>
  <c r="CA14" i="19" s="1"/>
  <c r="BX26" i="19"/>
  <c r="BZ24" i="19"/>
  <c r="BY25" i="19"/>
  <c r="CA49" i="19"/>
  <c r="CA50" i="19" s="1"/>
  <c r="R5" i="6"/>
  <c r="T5" i="6"/>
  <c r="H5" i="6"/>
  <c r="L5" i="6"/>
  <c r="Q16" i="18"/>
  <c r="R16" i="18" s="1"/>
  <c r="S16" i="18"/>
  <c r="P17" i="18"/>
  <c r="M16" i="18"/>
  <c r="AC16" i="18" s="1"/>
  <c r="AC17" i="18" s="1"/>
  <c r="AB16" i="18"/>
  <c r="AB17" i="18" s="1"/>
  <c r="O16" i="18"/>
  <c r="L17" i="18"/>
  <c r="F9" i="14"/>
  <c r="F15" i="1"/>
  <c r="H50" i="4"/>
  <c r="F27" i="14" s="1"/>
  <c r="E12" i="12"/>
  <c r="F37" i="5"/>
  <c r="F39" i="5" s="1"/>
  <c r="H33" i="5" s="1"/>
  <c r="I50" i="4"/>
  <c r="G27" i="14" s="1"/>
  <c r="F12" i="12"/>
  <c r="F17" i="6"/>
  <c r="D18" i="14"/>
  <c r="F50" i="4"/>
  <c r="D27" i="14" s="1"/>
  <c r="C12" i="12"/>
  <c r="E9" i="14"/>
  <c r="F29" i="5"/>
  <c r="F31" i="5" s="1"/>
  <c r="H25" i="5" s="1"/>
  <c r="F61" i="5"/>
  <c r="F63" i="5" s="1"/>
  <c r="H57" i="5" s="1"/>
  <c r="H83" i="5"/>
  <c r="G44" i="4" s="1"/>
  <c r="N83" i="5"/>
  <c r="J44" i="4" s="1"/>
  <c r="J13" i="6"/>
  <c r="R13" i="6"/>
  <c r="H13" i="6"/>
  <c r="F5" i="6"/>
  <c r="N5" i="6"/>
  <c r="V5" i="6"/>
  <c r="F53" i="5"/>
  <c r="F55" i="5" s="1"/>
  <c r="H49" i="5" s="1"/>
  <c r="V31" i="6"/>
  <c r="J5" i="6"/>
  <c r="X5" i="6"/>
  <c r="F13" i="6"/>
  <c r="P13" i="6"/>
  <c r="N50" i="4"/>
  <c r="P5" i="6"/>
  <c r="L19" i="6"/>
  <c r="L18" i="9"/>
  <c r="L29" i="9" s="1"/>
  <c r="H18" i="9" l="1"/>
  <c r="H29" i="9" s="1"/>
  <c r="J18" i="9"/>
  <c r="J29" i="9" s="1"/>
  <c r="J32" i="9" s="1"/>
  <c r="J43" i="9" s="1"/>
  <c r="J5" i="5"/>
  <c r="P5" i="5"/>
  <c r="T5" i="5"/>
  <c r="H32" i="9"/>
  <c r="H43" i="9" s="1"/>
  <c r="H35" i="9"/>
  <c r="L32" i="9"/>
  <c r="L43" i="9" s="1"/>
  <c r="L35" i="9"/>
  <c r="N18" i="9"/>
  <c r="N29" i="9" s="1"/>
  <c r="G18" i="9"/>
  <c r="G29" i="9" s="1"/>
  <c r="L5" i="5"/>
  <c r="I12" i="20"/>
  <c r="I18" i="20"/>
  <c r="I24" i="20" s="1"/>
  <c r="I28" i="20" s="1"/>
  <c r="I32" i="20" s="1"/>
  <c r="I36" i="20" s="1"/>
  <c r="I40" i="20" s="1"/>
  <c r="I43" i="20" s="1"/>
  <c r="I46" i="20" s="1"/>
  <c r="I50" i="20" s="1"/>
  <c r="K18" i="9"/>
  <c r="K29" i="9" s="1"/>
  <c r="F18" i="9"/>
  <c r="F29" i="9" s="1"/>
  <c r="R5" i="5"/>
  <c r="F12" i="20"/>
  <c r="F18" i="20"/>
  <c r="F24" i="20" s="1"/>
  <c r="F28" i="20" s="1"/>
  <c r="F32" i="20" s="1"/>
  <c r="F36" i="20" s="1"/>
  <c r="F40" i="20" s="1"/>
  <c r="F43" i="20" s="1"/>
  <c r="F46" i="20" s="1"/>
  <c r="F50" i="20" s="1"/>
  <c r="M12" i="20"/>
  <c r="M18" i="20"/>
  <c r="M24" i="20" s="1"/>
  <c r="M28" i="20" s="1"/>
  <c r="M32" i="20" s="1"/>
  <c r="M36" i="20" s="1"/>
  <c r="M40" i="20" s="1"/>
  <c r="M43" i="20" s="1"/>
  <c r="M46" i="20" s="1"/>
  <c r="M50" i="20" s="1"/>
  <c r="E12" i="20"/>
  <c r="E18" i="20"/>
  <c r="E24" i="20" s="1"/>
  <c r="E28" i="20" s="1"/>
  <c r="E32" i="20" s="1"/>
  <c r="E36" i="20" s="1"/>
  <c r="E40" i="20" s="1"/>
  <c r="E43" i="20" s="1"/>
  <c r="E46" i="20" s="1"/>
  <c r="E50" i="20" s="1"/>
  <c r="L18" i="20"/>
  <c r="L24" i="20" s="1"/>
  <c r="L28" i="20" s="1"/>
  <c r="L32" i="20" s="1"/>
  <c r="L36" i="20" s="1"/>
  <c r="L40" i="20" s="1"/>
  <c r="L43" i="20" s="1"/>
  <c r="L46" i="20" s="1"/>
  <c r="L50" i="20" s="1"/>
  <c r="L12" i="20"/>
  <c r="N12" i="20"/>
  <c r="N18" i="20"/>
  <c r="N24" i="20" s="1"/>
  <c r="N28" i="20" s="1"/>
  <c r="N32" i="20" s="1"/>
  <c r="N36" i="20" s="1"/>
  <c r="N40" i="20" s="1"/>
  <c r="N43" i="20" s="1"/>
  <c r="N46" i="20" s="1"/>
  <c r="N50" i="20" s="1"/>
  <c r="K18" i="20"/>
  <c r="K24" i="20" s="1"/>
  <c r="K28" i="20" s="1"/>
  <c r="K32" i="20" s="1"/>
  <c r="K36" i="20" s="1"/>
  <c r="K40" i="20" s="1"/>
  <c r="K43" i="20" s="1"/>
  <c r="K46" i="20" s="1"/>
  <c r="K50" i="20" s="1"/>
  <c r="K12" i="20"/>
  <c r="X5" i="5"/>
  <c r="J12" i="20"/>
  <c r="J18" i="20"/>
  <c r="J24" i="20" s="1"/>
  <c r="J28" i="20" s="1"/>
  <c r="J32" i="20" s="1"/>
  <c r="J36" i="20" s="1"/>
  <c r="J40" i="20" s="1"/>
  <c r="J43" i="20" s="1"/>
  <c r="J46" i="20" s="1"/>
  <c r="J50" i="20" s="1"/>
  <c r="H5" i="5"/>
  <c r="G18" i="20"/>
  <c r="G24" i="20" s="1"/>
  <c r="G28" i="20" s="1"/>
  <c r="G32" i="20" s="1"/>
  <c r="G36" i="20" s="1"/>
  <c r="G40" i="20" s="1"/>
  <c r="G43" i="20" s="1"/>
  <c r="G46" i="20" s="1"/>
  <c r="G50" i="20" s="1"/>
  <c r="G12" i="20"/>
  <c r="H18" i="20"/>
  <c r="H24" i="20" s="1"/>
  <c r="H28" i="20" s="1"/>
  <c r="H32" i="20" s="1"/>
  <c r="H36" i="20" s="1"/>
  <c r="H40" i="20" s="1"/>
  <c r="H43" i="20" s="1"/>
  <c r="H46" i="20" s="1"/>
  <c r="H50" i="20" s="1"/>
  <c r="H12" i="20"/>
  <c r="CB13" i="19"/>
  <c r="CB14" i="19" s="1"/>
  <c r="CA24" i="19"/>
  <c r="BZ25" i="19"/>
  <c r="BY26" i="19"/>
  <c r="CB49" i="19"/>
  <c r="CB50" i="19" s="1"/>
  <c r="N16" i="18"/>
  <c r="AD16" i="18" s="1"/>
  <c r="AD17" i="18" s="1"/>
  <c r="J50" i="4"/>
  <c r="H27" i="14" s="1"/>
  <c r="G12" i="12"/>
  <c r="G50" i="4"/>
  <c r="E27" i="14" s="1"/>
  <c r="D12" i="12"/>
  <c r="H61" i="5"/>
  <c r="H63" i="5" s="1"/>
  <c r="J57" i="5" s="1"/>
  <c r="H37" i="5"/>
  <c r="H39" i="5" s="1"/>
  <c r="J33" i="5" s="1"/>
  <c r="H53" i="5"/>
  <c r="H55" i="5" s="1"/>
  <c r="J49" i="5" s="1"/>
  <c r="F45" i="5"/>
  <c r="F47" i="5" s="1"/>
  <c r="H41" i="5" s="1"/>
  <c r="F69" i="5"/>
  <c r="F71" i="5" s="1"/>
  <c r="H65" i="5" s="1"/>
  <c r="F8" i="14"/>
  <c r="H8" i="4"/>
  <c r="G8" i="4"/>
  <c r="M18" i="9"/>
  <c r="M29" i="9" s="1"/>
  <c r="V5" i="5"/>
  <c r="E18" i="9"/>
  <c r="E29" i="9" s="1"/>
  <c r="F5" i="5"/>
  <c r="N19" i="6"/>
  <c r="K8" i="4"/>
  <c r="N5" i="5"/>
  <c r="I18" i="9"/>
  <c r="I29" i="9" s="1"/>
  <c r="E7" i="14"/>
  <c r="L8" i="4"/>
  <c r="F77" i="5"/>
  <c r="F79" i="5" s="1"/>
  <c r="H73" i="5" s="1"/>
  <c r="F21" i="5"/>
  <c r="F23" i="5" s="1"/>
  <c r="H17" i="5" s="1"/>
  <c r="O8" i="4"/>
  <c r="H29" i="5"/>
  <c r="H31" i="5" s="1"/>
  <c r="J25" i="5" s="1"/>
  <c r="D6" i="14"/>
  <c r="F9" i="1"/>
  <c r="F13" i="5"/>
  <c r="F15" i="5" s="1"/>
  <c r="H9" i="5" s="1"/>
  <c r="H9" i="14"/>
  <c r="E6" i="14"/>
  <c r="E24" i="9"/>
  <c r="F11" i="1"/>
  <c r="D7" i="14"/>
  <c r="G9" i="14"/>
  <c r="M8" i="4"/>
  <c r="I8" i="4"/>
  <c r="J35" i="9" l="1"/>
  <c r="J46" i="9"/>
  <c r="J49" i="9"/>
  <c r="J54" i="9" s="1"/>
  <c r="L49" i="9"/>
  <c r="L54" i="9" s="1"/>
  <c r="L46" i="9"/>
  <c r="H49" i="9"/>
  <c r="H54" i="9" s="1"/>
  <c r="H46" i="9"/>
  <c r="G32" i="9"/>
  <c r="G43" i="9" s="1"/>
  <c r="G35" i="9"/>
  <c r="E32" i="9"/>
  <c r="E43" i="9" s="1"/>
  <c r="E35" i="9"/>
  <c r="N32" i="9"/>
  <c r="N43" i="9" s="1"/>
  <c r="N35" i="9"/>
  <c r="K35" i="9"/>
  <c r="K32" i="9"/>
  <c r="K43" i="9" s="1"/>
  <c r="I32" i="9"/>
  <c r="I43" i="9" s="1"/>
  <c r="I35" i="9"/>
  <c r="M32" i="9"/>
  <c r="M43" i="9" s="1"/>
  <c r="M35" i="9"/>
  <c r="F35" i="9"/>
  <c r="F32" i="9"/>
  <c r="F43" i="9" s="1"/>
  <c r="CC13" i="19"/>
  <c r="CC14" i="19" s="1"/>
  <c r="BZ26" i="19"/>
  <c r="CB24" i="19"/>
  <c r="CA25" i="19"/>
  <c r="CC49" i="19"/>
  <c r="CC50" i="19" s="1"/>
  <c r="D10" i="14"/>
  <c r="K6" i="14" s="1"/>
  <c r="E10" i="14"/>
  <c r="L7" i="14" s="1"/>
  <c r="F7" i="3"/>
  <c r="D14" i="14" s="1"/>
  <c r="H13" i="5"/>
  <c r="H15" i="5" s="1"/>
  <c r="J9" i="5" s="1"/>
  <c r="J29" i="5"/>
  <c r="J31" i="5" s="1"/>
  <c r="L25" i="5" s="1"/>
  <c r="H69" i="5"/>
  <c r="H71" i="5" s="1"/>
  <c r="J65" i="5" s="1"/>
  <c r="J37" i="5"/>
  <c r="J39" i="5" s="1"/>
  <c r="L33" i="5" s="1"/>
  <c r="H21" i="5"/>
  <c r="H23" i="5" s="1"/>
  <c r="J17" i="5" s="1"/>
  <c r="J8" i="4"/>
  <c r="G8" i="14"/>
  <c r="G7" i="3"/>
  <c r="E14" i="14" s="1"/>
  <c r="F49" i="2"/>
  <c r="K31" i="14"/>
  <c r="F7" i="14"/>
  <c r="F17" i="1"/>
  <c r="F6" i="14"/>
  <c r="H45" i="5"/>
  <c r="H47" i="5" s="1"/>
  <c r="J41" i="5" s="1"/>
  <c r="F24" i="9"/>
  <c r="F85" i="5"/>
  <c r="F44" i="3" s="1"/>
  <c r="C11" i="12" s="1"/>
  <c r="N8" i="4"/>
  <c r="H77" i="5"/>
  <c r="P19" i="6"/>
  <c r="F8" i="4"/>
  <c r="J53" i="5"/>
  <c r="J55" i="5" s="1"/>
  <c r="L49" i="5" s="1"/>
  <c r="J61" i="5"/>
  <c r="J63" i="5" s="1"/>
  <c r="L57" i="5" s="1"/>
  <c r="F79" i="2" l="1"/>
  <c r="G49" i="2"/>
  <c r="G79" i="2" s="1"/>
  <c r="I46" i="9"/>
  <c r="I49" i="9"/>
  <c r="I54" i="9" s="1"/>
  <c r="N46" i="9"/>
  <c r="N49" i="9"/>
  <c r="N54" i="9" s="1"/>
  <c r="G49" i="9"/>
  <c r="G54" i="9" s="1"/>
  <c r="G46" i="9"/>
  <c r="K46" i="9"/>
  <c r="K49" i="9"/>
  <c r="K54" i="9" s="1"/>
  <c r="F46" i="9"/>
  <c r="F49" i="9"/>
  <c r="F54" i="9" s="1"/>
  <c r="M46" i="9"/>
  <c r="M49" i="9"/>
  <c r="M54" i="9" s="1"/>
  <c r="E46" i="9"/>
  <c r="E49" i="9"/>
  <c r="E54" i="9" s="1"/>
  <c r="CD13" i="19"/>
  <c r="CD14" i="19" s="1"/>
  <c r="CC24" i="19"/>
  <c r="CB25" i="19"/>
  <c r="CA26" i="19"/>
  <c r="CD49" i="19"/>
  <c r="CD50" i="19" s="1"/>
  <c r="K7" i="14"/>
  <c r="L6" i="14"/>
  <c r="F10" i="14"/>
  <c r="M8" i="14" s="1"/>
  <c r="F7" i="6"/>
  <c r="J17" i="6"/>
  <c r="F18" i="14"/>
  <c r="L14" i="14"/>
  <c r="L9" i="14"/>
  <c r="L8" i="14"/>
  <c r="H17" i="6"/>
  <c r="E18" i="14"/>
  <c r="L18" i="14" s="1"/>
  <c r="G24" i="9"/>
  <c r="K14" i="14"/>
  <c r="K18" i="14"/>
  <c r="K8" i="14"/>
  <c r="K9" i="14"/>
  <c r="H85" i="5"/>
  <c r="G44" i="3" s="1"/>
  <c r="J13" i="5"/>
  <c r="J15" i="5" s="1"/>
  <c r="L9" i="5" s="1"/>
  <c r="L61" i="5"/>
  <c r="L63" i="5" s="1"/>
  <c r="N57" i="5" s="1"/>
  <c r="J69" i="5"/>
  <c r="J71" i="5" s="1"/>
  <c r="L65" i="5" s="1"/>
  <c r="J45" i="5"/>
  <c r="J47" i="5" s="1"/>
  <c r="L41" i="5" s="1"/>
  <c r="G6" i="14"/>
  <c r="L37" i="5"/>
  <c r="L39" i="5" s="1"/>
  <c r="N33" i="5" s="1"/>
  <c r="D17" i="14"/>
  <c r="K17" i="14" s="1"/>
  <c r="H7" i="6"/>
  <c r="H8" i="14"/>
  <c r="F87" i="5"/>
  <c r="L53" i="5"/>
  <c r="L55" i="5" s="1"/>
  <c r="N49" i="5" s="1"/>
  <c r="F33" i="6"/>
  <c r="F16" i="4"/>
  <c r="J21" i="5"/>
  <c r="J23" i="5" s="1"/>
  <c r="L17" i="5" s="1"/>
  <c r="L29" i="5"/>
  <c r="L31" i="5" s="1"/>
  <c r="N25" i="5" s="1"/>
  <c r="R19" i="6"/>
  <c r="G7" i="14"/>
  <c r="H79" i="5"/>
  <c r="J73" i="5" s="1"/>
  <c r="H7" i="3"/>
  <c r="F14" i="14" s="1"/>
  <c r="F17" i="3"/>
  <c r="G17" i="3"/>
  <c r="E15" i="14" l="1"/>
  <c r="L15" i="14" s="1"/>
  <c r="F44" i="9"/>
  <c r="F50" i="9" s="1"/>
  <c r="F52" i="9" s="1"/>
  <c r="G47" i="2" s="1"/>
  <c r="F30" i="9"/>
  <c r="F36" i="9" s="1"/>
  <c r="F38" i="9" s="1"/>
  <c r="D15" i="14"/>
  <c r="K15" i="14" s="1"/>
  <c r="E30" i="9"/>
  <c r="E36" i="9" s="1"/>
  <c r="E38" i="9" s="1"/>
  <c r="E44" i="9"/>
  <c r="E50" i="9" s="1"/>
  <c r="E52" i="9" s="1"/>
  <c r="F47" i="2" s="1"/>
  <c r="H49" i="2"/>
  <c r="H79" i="2" s="1"/>
  <c r="M6" i="14"/>
  <c r="CE13" i="19"/>
  <c r="CE14" i="19" s="1"/>
  <c r="CB26" i="19"/>
  <c r="CD24" i="19"/>
  <c r="CC25" i="19"/>
  <c r="CE49" i="19"/>
  <c r="CE50" i="19" s="1"/>
  <c r="H17" i="3"/>
  <c r="M7" i="14"/>
  <c r="L10" i="14"/>
  <c r="M9" i="14"/>
  <c r="K10" i="14"/>
  <c r="G16" i="4"/>
  <c r="D11" i="12"/>
  <c r="M18" i="14"/>
  <c r="M14" i="14"/>
  <c r="G10" i="14"/>
  <c r="N6" i="14" s="1"/>
  <c r="H33" i="6"/>
  <c r="L69" i="5"/>
  <c r="L71" i="5" s="1"/>
  <c r="N65" i="5" s="1"/>
  <c r="L21" i="5"/>
  <c r="L23" i="5" s="1"/>
  <c r="N17" i="5" s="1"/>
  <c r="L45" i="5"/>
  <c r="L47" i="5" s="1"/>
  <c r="N41" i="5" s="1"/>
  <c r="H11" i="6"/>
  <c r="T19" i="6"/>
  <c r="H7" i="14"/>
  <c r="F90" i="5"/>
  <c r="F40" i="2" s="1"/>
  <c r="H81" i="5"/>
  <c r="H87" i="5" s="1"/>
  <c r="I7" i="3"/>
  <c r="G14" i="14" s="1"/>
  <c r="N61" i="5"/>
  <c r="N63" i="5" s="1"/>
  <c r="P57" i="5" s="1"/>
  <c r="F11" i="6"/>
  <c r="F25" i="3"/>
  <c r="F26" i="3" s="1"/>
  <c r="J7" i="6"/>
  <c r="J77" i="5"/>
  <c r="J85" i="5" s="1"/>
  <c r="H44" i="3" s="1"/>
  <c r="E11" i="12" s="1"/>
  <c r="I17" i="3"/>
  <c r="F15" i="6"/>
  <c r="F28" i="3"/>
  <c r="D19" i="14" s="1"/>
  <c r="K19" i="14" s="1"/>
  <c r="H24" i="9"/>
  <c r="N29" i="5"/>
  <c r="N31" i="5" s="1"/>
  <c r="P25" i="5" s="1"/>
  <c r="N37" i="5"/>
  <c r="N39" i="5" s="1"/>
  <c r="P33" i="5" s="1"/>
  <c r="N53" i="5"/>
  <c r="N55" i="5" s="1"/>
  <c r="P49" i="5" s="1"/>
  <c r="E17" i="14"/>
  <c r="L17" i="14" s="1"/>
  <c r="G25" i="3"/>
  <c r="G26" i="3" s="1"/>
  <c r="L13" i="5"/>
  <c r="L15" i="5" s="1"/>
  <c r="N9" i="5" s="1"/>
  <c r="E16" i="14" l="1"/>
  <c r="L16" i="14" s="1"/>
  <c r="D16" i="14"/>
  <c r="K16" i="14" s="1"/>
  <c r="G23" i="2"/>
  <c r="F55" i="9"/>
  <c r="F23" i="2"/>
  <c r="E55" i="9"/>
  <c r="E56" i="9" s="1"/>
  <c r="C13" i="12" s="1"/>
  <c r="F83" i="2"/>
  <c r="G83" i="2"/>
  <c r="G15" i="14"/>
  <c r="N15" i="14" s="1"/>
  <c r="H30" i="9"/>
  <c r="H36" i="9" s="1"/>
  <c r="H38" i="9" s="1"/>
  <c r="I23" i="2" s="1"/>
  <c r="H44" i="9"/>
  <c r="H50" i="9" s="1"/>
  <c r="H52" i="9" s="1"/>
  <c r="I47" i="2" s="1"/>
  <c r="F15" i="14"/>
  <c r="M15" i="14" s="1"/>
  <c r="G30" i="9"/>
  <c r="G36" i="9" s="1"/>
  <c r="G38" i="9" s="1"/>
  <c r="G44" i="9"/>
  <c r="G50" i="9" s="1"/>
  <c r="G52" i="9" s="1"/>
  <c r="H47" i="2" s="1"/>
  <c r="H83" i="2" s="1"/>
  <c r="I49" i="2"/>
  <c r="F38" i="2"/>
  <c r="F70" i="2"/>
  <c r="F72" i="2" s="1"/>
  <c r="CF13" i="19"/>
  <c r="CF14" i="19" s="1"/>
  <c r="CC26" i="19"/>
  <c r="CE24" i="19"/>
  <c r="CD25" i="19"/>
  <c r="CD26" i="19"/>
  <c r="CF49" i="19"/>
  <c r="CF50" i="19" s="1"/>
  <c r="J11" i="6"/>
  <c r="H25" i="3"/>
  <c r="H26" i="3" s="1"/>
  <c r="M10" i="14"/>
  <c r="N7" i="14"/>
  <c r="N14" i="14"/>
  <c r="L17" i="6"/>
  <c r="G18" i="14"/>
  <c r="N18" i="14" s="1"/>
  <c r="N9" i="14"/>
  <c r="N8" i="14"/>
  <c r="J7" i="3"/>
  <c r="H6" i="14"/>
  <c r="J79" i="5"/>
  <c r="L73" i="5" s="1"/>
  <c r="F41" i="3"/>
  <c r="L11" i="6"/>
  <c r="P37" i="5"/>
  <c r="P39" i="5" s="1"/>
  <c r="R33" i="5" s="1"/>
  <c r="J24" i="9"/>
  <c r="K7" i="3"/>
  <c r="N13" i="5"/>
  <c r="N15" i="5" s="1"/>
  <c r="P9" i="5" s="1"/>
  <c r="H15" i="6"/>
  <c r="H23" i="6" s="1"/>
  <c r="H25" i="6" s="1"/>
  <c r="H27" i="6" s="1"/>
  <c r="G28" i="3"/>
  <c r="E19" i="14" s="1"/>
  <c r="F23" i="6"/>
  <c r="F25" i="6" s="1"/>
  <c r="F27" i="6" s="1"/>
  <c r="F17" i="14"/>
  <c r="M17" i="14" s="1"/>
  <c r="I24" i="9"/>
  <c r="P29" i="5"/>
  <c r="P31" i="5" s="1"/>
  <c r="R25" i="5" s="1"/>
  <c r="J33" i="6"/>
  <c r="H16" i="4"/>
  <c r="P53" i="5"/>
  <c r="P55" i="5" s="1"/>
  <c r="R49" i="5" s="1"/>
  <c r="L7" i="6"/>
  <c r="I25" i="3"/>
  <c r="I26" i="3" s="1"/>
  <c r="N21" i="5"/>
  <c r="N23" i="5" s="1"/>
  <c r="P17" i="5" s="1"/>
  <c r="G41" i="3"/>
  <c r="L77" i="5"/>
  <c r="L85" i="5" s="1"/>
  <c r="I44" i="3" s="1"/>
  <c r="F11" i="12" s="1"/>
  <c r="P61" i="5"/>
  <c r="P63" i="5" s="1"/>
  <c r="R57" i="5" s="1"/>
  <c r="H90" i="5"/>
  <c r="G40" i="2" s="1"/>
  <c r="J81" i="5"/>
  <c r="J87" i="5" s="1"/>
  <c r="X19" i="6"/>
  <c r="V19" i="6"/>
  <c r="N45" i="5"/>
  <c r="N47" i="5" s="1"/>
  <c r="P41" i="5" s="1"/>
  <c r="N69" i="5"/>
  <c r="N71" i="5" s="1"/>
  <c r="P65" i="5" s="1"/>
  <c r="F16" i="14" l="1"/>
  <c r="M16" i="14" s="1"/>
  <c r="I83" i="2"/>
  <c r="D20" i="14"/>
  <c r="K20" i="14" s="1"/>
  <c r="G46" i="3"/>
  <c r="G47" i="3" s="1"/>
  <c r="G42" i="3"/>
  <c r="F46" i="3"/>
  <c r="D21" i="14" s="1"/>
  <c r="K21" i="14" s="1"/>
  <c r="F42" i="3"/>
  <c r="H23" i="2"/>
  <c r="H81" i="2" s="1"/>
  <c r="H20" i="4" s="1"/>
  <c r="G55" i="9"/>
  <c r="G56" i="9" s="1"/>
  <c r="E13" i="12" s="1"/>
  <c r="F81" i="2"/>
  <c r="F20" i="4" s="1"/>
  <c r="F56" i="9"/>
  <c r="D13" i="12" s="1"/>
  <c r="G81" i="2"/>
  <c r="G20" i="4" s="1"/>
  <c r="G16" i="14"/>
  <c r="N16" i="14" s="1"/>
  <c r="I79" i="2"/>
  <c r="H55" i="9"/>
  <c r="K26" i="14"/>
  <c r="J49" i="2"/>
  <c r="J79" i="2" s="1"/>
  <c r="K49" i="2"/>
  <c r="CG13" i="19"/>
  <c r="CG14" i="19" s="1"/>
  <c r="CF24" i="19"/>
  <c r="CE25" i="19"/>
  <c r="CG49" i="19"/>
  <c r="CG50" i="19" s="1"/>
  <c r="J17" i="3"/>
  <c r="D15" i="17"/>
  <c r="H14" i="14"/>
  <c r="C8" i="16"/>
  <c r="N10" i="14"/>
  <c r="E21" i="14"/>
  <c r="L21" i="14" s="1"/>
  <c r="D9" i="12"/>
  <c r="N17" i="6"/>
  <c r="H18" i="14"/>
  <c r="L19" i="14"/>
  <c r="E20" i="14"/>
  <c r="L20" i="14" s="1"/>
  <c r="N7" i="6"/>
  <c r="H10" i="14"/>
  <c r="L79" i="5"/>
  <c r="N73" i="5" s="1"/>
  <c r="N77" i="5" s="1"/>
  <c r="N85" i="5" s="1"/>
  <c r="J44" i="3" s="1"/>
  <c r="G11" i="12" s="1"/>
  <c r="P45" i="5"/>
  <c r="P47" i="5" s="1"/>
  <c r="R41" i="5" s="1"/>
  <c r="R29" i="5"/>
  <c r="R31" i="5" s="1"/>
  <c r="T25" i="5" s="1"/>
  <c r="R61" i="5"/>
  <c r="R63" i="5" s="1"/>
  <c r="T57" i="5" s="1"/>
  <c r="P21" i="5"/>
  <c r="P23" i="5" s="1"/>
  <c r="R17" i="5" s="1"/>
  <c r="P13" i="5"/>
  <c r="P15" i="5" s="1"/>
  <c r="R9" i="5" s="1"/>
  <c r="R37" i="5"/>
  <c r="R39" i="5" s="1"/>
  <c r="T33" i="5" s="1"/>
  <c r="L81" i="5"/>
  <c r="L87" i="5" s="1"/>
  <c r="J90" i="5"/>
  <c r="H40" i="2" s="1"/>
  <c r="F35" i="6"/>
  <c r="F18" i="4"/>
  <c r="G17" i="14"/>
  <c r="N17" i="14" s="1"/>
  <c r="K24" i="9"/>
  <c r="L7" i="3"/>
  <c r="J15" i="6"/>
  <c r="J23" i="6" s="1"/>
  <c r="J25" i="6" s="1"/>
  <c r="J27" i="6" s="1"/>
  <c r="H28" i="3"/>
  <c r="P69" i="5"/>
  <c r="P71" i="5" s="1"/>
  <c r="R65" i="5" s="1"/>
  <c r="P17" i="6"/>
  <c r="G70" i="2"/>
  <c r="G38" i="2"/>
  <c r="L26" i="14" s="1"/>
  <c r="I16" i="4"/>
  <c r="L33" i="6"/>
  <c r="P7" i="6"/>
  <c r="R53" i="5"/>
  <c r="R55" i="5" s="1"/>
  <c r="T49" i="5" s="1"/>
  <c r="I81" i="2" l="1"/>
  <c r="F51" i="3"/>
  <c r="F47" i="3"/>
  <c r="C9" i="12"/>
  <c r="H15" i="14"/>
  <c r="H16" i="14" s="1"/>
  <c r="O16" i="14" s="1"/>
  <c r="I44" i="9"/>
  <c r="I50" i="9" s="1"/>
  <c r="I52" i="9" s="1"/>
  <c r="J47" i="2" s="1"/>
  <c r="I30" i="9"/>
  <c r="I36" i="9" s="1"/>
  <c r="I38" i="9" s="1"/>
  <c r="H56" i="9"/>
  <c r="F13" i="12" s="1"/>
  <c r="K79" i="2"/>
  <c r="I20" i="4"/>
  <c r="L49" i="2"/>
  <c r="F38" i="4"/>
  <c r="D28" i="14" s="1"/>
  <c r="CH13" i="19"/>
  <c r="CH14" i="19" s="1"/>
  <c r="CF25" i="19"/>
  <c r="CG24" i="19"/>
  <c r="CE26" i="19"/>
  <c r="CH49" i="19"/>
  <c r="CH50" i="19" s="1"/>
  <c r="J25" i="3"/>
  <c r="J26" i="3" s="1"/>
  <c r="O18" i="14"/>
  <c r="N11" i="6"/>
  <c r="O14" i="14"/>
  <c r="D8" i="16"/>
  <c r="C9" i="16"/>
  <c r="O8" i="14"/>
  <c r="O9" i="14"/>
  <c r="O7" i="14"/>
  <c r="H41" i="3"/>
  <c r="F19" i="14"/>
  <c r="O6" i="14"/>
  <c r="T61" i="5"/>
  <c r="T63" i="5" s="1"/>
  <c r="V57" i="5" s="1"/>
  <c r="R69" i="5"/>
  <c r="R71" i="5" s="1"/>
  <c r="T65" i="5" s="1"/>
  <c r="R45" i="5"/>
  <c r="R47" i="5" s="1"/>
  <c r="T41" i="5" s="1"/>
  <c r="R13" i="5"/>
  <c r="R15" i="5" s="1"/>
  <c r="T9" i="5" s="1"/>
  <c r="R21" i="5"/>
  <c r="R23" i="5" s="1"/>
  <c r="T17" i="5" s="1"/>
  <c r="R17" i="6"/>
  <c r="N79" i="5"/>
  <c r="P73" i="5" s="1"/>
  <c r="L15" i="6"/>
  <c r="L23" i="6" s="1"/>
  <c r="L25" i="6" s="1"/>
  <c r="L27" i="6" s="1"/>
  <c r="I28" i="3"/>
  <c r="H38" i="2"/>
  <c r="M26" i="14" s="1"/>
  <c r="H70" i="2"/>
  <c r="H72" i="2" s="1"/>
  <c r="T53" i="5"/>
  <c r="T55" i="5" s="1"/>
  <c r="V49" i="5" s="1"/>
  <c r="G72" i="2"/>
  <c r="N33" i="6"/>
  <c r="J16" i="4"/>
  <c r="T37" i="5"/>
  <c r="T39" i="5" s="1"/>
  <c r="V33" i="5" s="1"/>
  <c r="R7" i="6"/>
  <c r="H17" i="14"/>
  <c r="O17" i="14" s="1"/>
  <c r="L90" i="5"/>
  <c r="I40" i="2" s="1"/>
  <c r="N81" i="5"/>
  <c r="N87" i="5" s="1"/>
  <c r="K17" i="3"/>
  <c r="T29" i="5"/>
  <c r="T31" i="5" s="1"/>
  <c r="V25" i="5" s="1"/>
  <c r="O15" i="14" l="1"/>
  <c r="F54" i="3"/>
  <c r="F52" i="3"/>
  <c r="H46" i="3"/>
  <c r="H47" i="3" s="1"/>
  <c r="H42" i="3"/>
  <c r="J30" i="9"/>
  <c r="J36" i="9" s="1"/>
  <c r="J38" i="9" s="1"/>
  <c r="J44" i="9"/>
  <c r="J50" i="9" s="1"/>
  <c r="J52" i="9" s="1"/>
  <c r="K47" i="2" s="1"/>
  <c r="K83" i="2" s="1"/>
  <c r="J23" i="2"/>
  <c r="J81" i="2" s="1"/>
  <c r="I55" i="9"/>
  <c r="I56" i="9" s="1"/>
  <c r="G13" i="12" s="1"/>
  <c r="J83" i="2"/>
  <c r="L79" i="2"/>
  <c r="CI13" i="19"/>
  <c r="CI14" i="19" s="1"/>
  <c r="CH24" i="19"/>
  <c r="CG25" i="19"/>
  <c r="CF26" i="19"/>
  <c r="CI49" i="19"/>
  <c r="CI50" i="19" s="1"/>
  <c r="C11" i="16"/>
  <c r="D9" i="16"/>
  <c r="O10" i="14"/>
  <c r="M19" i="14"/>
  <c r="F20" i="14"/>
  <c r="M20" i="14" s="1"/>
  <c r="I41" i="3"/>
  <c r="G19" i="14"/>
  <c r="E9" i="12"/>
  <c r="L17" i="3"/>
  <c r="T13" i="5"/>
  <c r="T15" i="5" s="1"/>
  <c r="V9" i="5" s="1"/>
  <c r="V29" i="5"/>
  <c r="V31" i="5" s="1"/>
  <c r="X25" i="5" s="1"/>
  <c r="V53" i="5"/>
  <c r="V55" i="5" s="1"/>
  <c r="X49" i="5" s="1"/>
  <c r="T45" i="5"/>
  <c r="T47" i="5" s="1"/>
  <c r="V41" i="5" s="1"/>
  <c r="L24" i="9"/>
  <c r="T21" i="5"/>
  <c r="T23" i="5" s="1"/>
  <c r="V17" i="5" s="1"/>
  <c r="T69" i="5"/>
  <c r="T71" i="5" s="1"/>
  <c r="V65" i="5" s="1"/>
  <c r="P11" i="6"/>
  <c r="K25" i="3"/>
  <c r="K26" i="3" s="1"/>
  <c r="N90" i="5"/>
  <c r="J40" i="2" s="1"/>
  <c r="P81" i="5"/>
  <c r="T17" i="6"/>
  <c r="I38" i="2"/>
  <c r="N26" i="14" s="1"/>
  <c r="I70" i="2"/>
  <c r="I72" i="2" s="1"/>
  <c r="V37" i="5"/>
  <c r="V39" i="5" s="1"/>
  <c r="X33" i="5" s="1"/>
  <c r="M24" i="9"/>
  <c r="N7" i="3"/>
  <c r="V61" i="5"/>
  <c r="V63" i="5" s="1"/>
  <c r="X57" i="5" s="1"/>
  <c r="P77" i="5"/>
  <c r="P85" i="5" s="1"/>
  <c r="K44" i="3" s="1"/>
  <c r="M7" i="3"/>
  <c r="N15" i="6"/>
  <c r="N23" i="6" s="1"/>
  <c r="N25" i="6" s="1"/>
  <c r="N27" i="6" s="1"/>
  <c r="J28" i="3"/>
  <c r="F29" i="2" l="1"/>
  <c r="C10" i="12"/>
  <c r="C14" i="12" s="1"/>
  <c r="C20" i="12" s="1"/>
  <c r="F37" i="6"/>
  <c r="F39" i="6" s="1"/>
  <c r="F43" i="6" s="1"/>
  <c r="F21" i="14"/>
  <c r="M21" i="14" s="1"/>
  <c r="J20" i="4"/>
  <c r="F56" i="3"/>
  <c r="I46" i="3"/>
  <c r="I47" i="3" s="1"/>
  <c r="I42" i="3"/>
  <c r="L25" i="3"/>
  <c r="L26" i="3" s="1"/>
  <c r="K44" i="9"/>
  <c r="K50" i="9" s="1"/>
  <c r="K52" i="9" s="1"/>
  <c r="L47" i="2" s="1"/>
  <c r="K30" i="9"/>
  <c r="K36" i="9" s="1"/>
  <c r="K38" i="9" s="1"/>
  <c r="K23" i="2"/>
  <c r="K81" i="2" s="1"/>
  <c r="K20" i="4" s="1"/>
  <c r="J55" i="9"/>
  <c r="J56" i="9" s="1"/>
  <c r="N49" i="2"/>
  <c r="M49" i="2"/>
  <c r="CJ13" i="19"/>
  <c r="CJ14" i="19" s="1"/>
  <c r="I68" i="19"/>
  <c r="CH25" i="19"/>
  <c r="CI24" i="19"/>
  <c r="CG26" i="19"/>
  <c r="CJ49" i="19"/>
  <c r="CJ50" i="19" s="1"/>
  <c r="D11" i="16"/>
  <c r="C13" i="16"/>
  <c r="E35" i="14" s="1"/>
  <c r="R11" i="6"/>
  <c r="J41" i="3"/>
  <c r="J42" i="3" s="1"/>
  <c r="H19" i="14"/>
  <c r="N19" i="14"/>
  <c r="G20" i="14"/>
  <c r="N20" i="14" s="1"/>
  <c r="M17" i="3"/>
  <c r="X37" i="5"/>
  <c r="X39" i="5" s="1"/>
  <c r="V69" i="5"/>
  <c r="V71" i="5" s="1"/>
  <c r="X65" i="5" s="1"/>
  <c r="V21" i="5"/>
  <c r="V23" i="5" s="1"/>
  <c r="X17" i="5" s="1"/>
  <c r="X53" i="5"/>
  <c r="X55" i="5" s="1"/>
  <c r="X61" i="5"/>
  <c r="X63" i="5" s="1"/>
  <c r="V13" i="5"/>
  <c r="V15" i="5" s="1"/>
  <c r="X9" i="5" s="1"/>
  <c r="X29" i="5"/>
  <c r="X31" i="5" s="1"/>
  <c r="T7" i="6"/>
  <c r="V7" i="6"/>
  <c r="N24" i="9"/>
  <c r="O7" i="3"/>
  <c r="P33" i="6"/>
  <c r="K16" i="4"/>
  <c r="V17" i="6"/>
  <c r="X17" i="6"/>
  <c r="P79" i="5"/>
  <c r="R73" i="5" s="1"/>
  <c r="P15" i="6"/>
  <c r="P23" i="6" s="1"/>
  <c r="P25" i="6" s="1"/>
  <c r="P27" i="6" s="1"/>
  <c r="K28" i="3"/>
  <c r="K41" i="3" s="1"/>
  <c r="P87" i="5"/>
  <c r="J70" i="2"/>
  <c r="J38" i="2"/>
  <c r="O26" i="14" s="1"/>
  <c r="V45" i="5"/>
  <c r="V47" i="5" s="1"/>
  <c r="X41" i="5" s="1"/>
  <c r="F57" i="3" l="1"/>
  <c r="F17" i="2"/>
  <c r="F11" i="2" s="1"/>
  <c r="F9" i="12"/>
  <c r="G21" i="14"/>
  <c r="N21" i="14" s="1"/>
  <c r="D22" i="14"/>
  <c r="K22" i="14" s="1"/>
  <c r="D11" i="14" s="1"/>
  <c r="F12" i="4"/>
  <c r="F45" i="6"/>
  <c r="F41" i="6"/>
  <c r="F21" i="2"/>
  <c r="K30" i="14" s="1"/>
  <c r="F22" i="4"/>
  <c r="K46" i="3"/>
  <c r="K47" i="3" s="1"/>
  <c r="K42" i="3"/>
  <c r="L23" i="2"/>
  <c r="L81" i="2" s="1"/>
  <c r="K55" i="9"/>
  <c r="K56" i="9" s="1"/>
  <c r="L30" i="9"/>
  <c r="L36" i="9" s="1"/>
  <c r="L38" i="9" s="1"/>
  <c r="L44" i="9"/>
  <c r="L50" i="9" s="1"/>
  <c r="L52" i="9" s="1"/>
  <c r="M47" i="2" s="1"/>
  <c r="M83" i="2" s="1"/>
  <c r="N79" i="2"/>
  <c r="M79" i="2"/>
  <c r="L83" i="2"/>
  <c r="O49" i="2"/>
  <c r="O79" i="2" s="1"/>
  <c r="CK13" i="19"/>
  <c r="CK14" i="19" s="1"/>
  <c r="CJ24" i="19"/>
  <c r="CI25" i="19"/>
  <c r="CH26" i="19"/>
  <c r="CK49" i="19"/>
  <c r="CK50" i="19" s="1"/>
  <c r="J46" i="3"/>
  <c r="T11" i="6"/>
  <c r="D13" i="16"/>
  <c r="M25" i="3"/>
  <c r="M26" i="3" s="1"/>
  <c r="N17" i="3"/>
  <c r="O19" i="14"/>
  <c r="H20" i="14"/>
  <c r="O20" i="14" s="1"/>
  <c r="X13" i="5"/>
  <c r="X15" i="5" s="1"/>
  <c r="X21" i="5"/>
  <c r="X23" i="5" s="1"/>
  <c r="X69" i="5"/>
  <c r="X71" i="5" s="1"/>
  <c r="R15" i="6"/>
  <c r="R23" i="6" s="1"/>
  <c r="R25" i="6" s="1"/>
  <c r="R27" i="6" s="1"/>
  <c r="L28" i="3"/>
  <c r="L41" i="3" s="1"/>
  <c r="L42" i="3" s="1"/>
  <c r="X7" i="6"/>
  <c r="X45" i="5"/>
  <c r="X47" i="5" s="1"/>
  <c r="P90" i="5"/>
  <c r="K40" i="2" s="1"/>
  <c r="R81" i="5"/>
  <c r="R77" i="5"/>
  <c r="R85" i="5" s="1"/>
  <c r="L44" i="3" s="1"/>
  <c r="J72" i="2"/>
  <c r="F24" i="4" l="1"/>
  <c r="K32" i="14"/>
  <c r="K33" i="14" s="1"/>
  <c r="F66" i="2"/>
  <c r="F68" i="2" s="1"/>
  <c r="F62" i="2"/>
  <c r="F64" i="2" s="1"/>
  <c r="F32" i="2"/>
  <c r="H21" i="14"/>
  <c r="O21" i="14" s="1"/>
  <c r="J47" i="3"/>
  <c r="L20" i="4"/>
  <c r="M23" i="2"/>
  <c r="M81" i="2" s="1"/>
  <c r="M20" i="4" s="1"/>
  <c r="L55" i="9"/>
  <c r="L56" i="9" s="1"/>
  <c r="N25" i="3"/>
  <c r="N26" i="3" s="1"/>
  <c r="M44" i="9"/>
  <c r="M50" i="9" s="1"/>
  <c r="M52" i="9" s="1"/>
  <c r="N47" i="2" s="1"/>
  <c r="M30" i="9"/>
  <c r="M36" i="9" s="1"/>
  <c r="M38" i="9" s="1"/>
  <c r="CL13" i="19"/>
  <c r="CL14" i="19" s="1"/>
  <c r="CI26" i="19"/>
  <c r="CJ25" i="19"/>
  <c r="CK24" i="19"/>
  <c r="CL49" i="19"/>
  <c r="CL50" i="19" s="1"/>
  <c r="G9" i="12"/>
  <c r="V11" i="6"/>
  <c r="R87" i="5"/>
  <c r="T81" i="5" s="1"/>
  <c r="R33" i="6"/>
  <c r="L16" i="4"/>
  <c r="R79" i="5"/>
  <c r="T73" i="5" s="1"/>
  <c r="K70" i="2"/>
  <c r="K38" i="2"/>
  <c r="O17" i="3"/>
  <c r="T15" i="6"/>
  <c r="T23" i="6" s="1"/>
  <c r="T25" i="6" s="1"/>
  <c r="T27" i="6" s="1"/>
  <c r="M28" i="3"/>
  <c r="M41" i="3" s="1"/>
  <c r="M42" i="3" s="1"/>
  <c r="L46" i="3"/>
  <c r="L47" i="3" s="1"/>
  <c r="D26" i="14" l="1"/>
  <c r="D29" i="14" s="1"/>
  <c r="F54" i="4"/>
  <c r="F58" i="4" s="1"/>
  <c r="N83" i="2"/>
  <c r="N44" i="9"/>
  <c r="N50" i="9" s="1"/>
  <c r="N52" i="9" s="1"/>
  <c r="O47" i="2" s="1"/>
  <c r="O83" i="2" s="1"/>
  <c r="N30" i="9"/>
  <c r="N36" i="9" s="1"/>
  <c r="N38" i="9" s="1"/>
  <c r="N23" i="2"/>
  <c r="N81" i="2" s="1"/>
  <c r="N20" i="4" s="1"/>
  <c r="M55" i="9"/>
  <c r="M56" i="9" s="1"/>
  <c r="CM13" i="19"/>
  <c r="CM14" i="19" s="1"/>
  <c r="CJ26" i="19"/>
  <c r="CK25" i="19"/>
  <c r="CL24" i="19"/>
  <c r="CM49" i="19"/>
  <c r="CM50" i="19" s="1"/>
  <c r="R90" i="5"/>
  <c r="L40" i="2" s="1"/>
  <c r="L70" i="2" s="1"/>
  <c r="L72" i="2" s="1"/>
  <c r="X15" i="6"/>
  <c r="O28" i="3"/>
  <c r="T77" i="5"/>
  <c r="T85" i="5" s="1"/>
  <c r="M44" i="3" s="1"/>
  <c r="M46" i="3" s="1"/>
  <c r="M47" i="3" s="1"/>
  <c r="X11" i="6"/>
  <c r="O25" i="3"/>
  <c r="O26" i="3" s="1"/>
  <c r="V15" i="6"/>
  <c r="V23" i="6" s="1"/>
  <c r="V25" i="6" s="1"/>
  <c r="V27" i="6" s="1"/>
  <c r="N28" i="3"/>
  <c r="N41" i="3" s="1"/>
  <c r="N42" i="3" s="1"/>
  <c r="K72" i="2"/>
  <c r="F51" i="2" l="1"/>
  <c r="G56" i="4"/>
  <c r="E25" i="14" s="1"/>
  <c r="S31" i="15"/>
  <c r="D30" i="14"/>
  <c r="S32" i="15" s="1"/>
  <c r="O23" i="2"/>
  <c r="N55" i="9"/>
  <c r="N56" i="9" s="1"/>
  <c r="CN13" i="19"/>
  <c r="CN14" i="19" s="1"/>
  <c r="CM24" i="19"/>
  <c r="CL25" i="19"/>
  <c r="CK26" i="19"/>
  <c r="L38" i="2"/>
  <c r="CN49" i="19"/>
  <c r="CN50" i="19" s="1"/>
  <c r="O41" i="3"/>
  <c r="O42" i="3" s="1"/>
  <c r="X23" i="6"/>
  <c r="X25" i="6" s="1"/>
  <c r="X27" i="6" s="1"/>
  <c r="T79" i="5"/>
  <c r="V73" i="5" s="1"/>
  <c r="T87" i="5"/>
  <c r="M16" i="4"/>
  <c r="T33" i="6"/>
  <c r="F2" i="4" l="1"/>
  <c r="F3" i="4" s="1"/>
  <c r="F45" i="2"/>
  <c r="O81" i="2"/>
  <c r="O20" i="4" s="1"/>
  <c r="CO13" i="19"/>
  <c r="CO14" i="19" s="1"/>
  <c r="CN24" i="19"/>
  <c r="CM25" i="19"/>
  <c r="CL26" i="19"/>
  <c r="CO49" i="19"/>
  <c r="CO50" i="19" s="1"/>
  <c r="L31" i="14"/>
  <c r="V77" i="5"/>
  <c r="V85" i="5" s="1"/>
  <c r="N44" i="3" s="1"/>
  <c r="T90" i="5"/>
  <c r="M40" i="2" s="1"/>
  <c r="V81" i="5"/>
  <c r="F56" i="2" l="1"/>
  <c r="F57" i="2" s="1"/>
  <c r="K27" i="14"/>
  <c r="K28" i="14" s="1"/>
  <c r="CP13" i="19"/>
  <c r="CP14" i="19" s="1"/>
  <c r="CM26" i="19"/>
  <c r="CO24" i="19"/>
  <c r="CN25" i="19"/>
  <c r="CP49" i="19"/>
  <c r="CP50" i="19" s="1"/>
  <c r="V87" i="5"/>
  <c r="X81" i="5" s="1"/>
  <c r="G18" i="4"/>
  <c r="H35" i="6"/>
  <c r="G51" i="3"/>
  <c r="G52" i="3" s="1"/>
  <c r="V33" i="6"/>
  <c r="N16" i="4"/>
  <c r="N46" i="3"/>
  <c r="N47" i="3" s="1"/>
  <c r="V79" i="5"/>
  <c r="X73" i="5" s="1"/>
  <c r="M38" i="2"/>
  <c r="M70" i="2"/>
  <c r="F74" i="2" l="1"/>
  <c r="F76" i="2" s="1"/>
  <c r="F2" i="2"/>
  <c r="CQ13" i="19"/>
  <c r="CQ14" i="19" s="1"/>
  <c r="CN26" i="19"/>
  <c r="CO25" i="19"/>
  <c r="CP24" i="19"/>
  <c r="V90" i="5"/>
  <c r="N40" i="2" s="1"/>
  <c r="N38" i="2" s="1"/>
  <c r="CQ49" i="19"/>
  <c r="CQ50" i="19" s="1"/>
  <c r="X77" i="5"/>
  <c r="X85" i="5" s="1"/>
  <c r="O44" i="3" s="1"/>
  <c r="M72" i="2"/>
  <c r="G54" i="3"/>
  <c r="G29" i="2" s="1"/>
  <c r="G22" i="4" l="1"/>
  <c r="CR13" i="19"/>
  <c r="CR14" i="19" s="1"/>
  <c r="CO26" i="19"/>
  <c r="CP25" i="19"/>
  <c r="CQ24" i="19"/>
  <c r="N70" i="2"/>
  <c r="N72" i="2" s="1"/>
  <c r="X79" i="5"/>
  <c r="CR49" i="19"/>
  <c r="CR50" i="19" s="1"/>
  <c r="X87" i="5"/>
  <c r="X90" i="5" s="1"/>
  <c r="O40" i="2" s="1"/>
  <c r="O38" i="2" s="1"/>
  <c r="G56" i="3"/>
  <c r="G17" i="2" s="1"/>
  <c r="D10" i="12"/>
  <c r="O16" i="4"/>
  <c r="X33" i="6"/>
  <c r="O46" i="3"/>
  <c r="O47" i="3" s="1"/>
  <c r="H37" i="6"/>
  <c r="H39" i="6" s="1"/>
  <c r="E22" i="14" l="1"/>
  <c r="L22" i="14" s="1"/>
  <c r="E11" i="14" s="1"/>
  <c r="G57" i="3"/>
  <c r="CS13" i="19"/>
  <c r="CS14" i="19" s="1"/>
  <c r="CP26" i="19"/>
  <c r="CQ25" i="19"/>
  <c r="CR24" i="19"/>
  <c r="O70" i="2"/>
  <c r="O72" i="2" s="1"/>
  <c r="CS49" i="19"/>
  <c r="CS50" i="19" s="1"/>
  <c r="G12" i="4"/>
  <c r="G24" i="4" s="1"/>
  <c r="G21" i="2"/>
  <c r="H43" i="6"/>
  <c r="H41" i="6"/>
  <c r="CT13" i="19" l="1"/>
  <c r="CT14" i="19" s="1"/>
  <c r="CQ26" i="19"/>
  <c r="CS24" i="19"/>
  <c r="CR25" i="19"/>
  <c r="CT49" i="19"/>
  <c r="CT50" i="19" s="1"/>
  <c r="D14" i="12"/>
  <c r="D20" i="12" s="1"/>
  <c r="L30" i="14"/>
  <c r="H45" i="6"/>
  <c r="CU13" i="19" l="1"/>
  <c r="CU14" i="19" s="1"/>
  <c r="CS25" i="19"/>
  <c r="CT24" i="19"/>
  <c r="CR26" i="19"/>
  <c r="CU49" i="19"/>
  <c r="CU50" i="19" s="1"/>
  <c r="E26" i="14"/>
  <c r="CV13" i="19" l="1"/>
  <c r="CV14" i="19" s="1"/>
  <c r="J68" i="19"/>
  <c r="CU24" i="19"/>
  <c r="CT25" i="19"/>
  <c r="CS26" i="19"/>
  <c r="CV49" i="19"/>
  <c r="CV50" i="19" s="1"/>
  <c r="CW13" i="19" l="1"/>
  <c r="CW14" i="19" s="1"/>
  <c r="CT26" i="19"/>
  <c r="CV24" i="19"/>
  <c r="CU25" i="19"/>
  <c r="CW49" i="19"/>
  <c r="CW50" i="19" s="1"/>
  <c r="CX13" i="19" l="1"/>
  <c r="CX14" i="19" s="1"/>
  <c r="CU26" i="19"/>
  <c r="CV25" i="19"/>
  <c r="CW24" i="19"/>
  <c r="CX49" i="19"/>
  <c r="CX50" i="19" s="1"/>
  <c r="CY13" i="19" l="1"/>
  <c r="CY14" i="19" s="1"/>
  <c r="CW25" i="19"/>
  <c r="CX24" i="19"/>
  <c r="CV26" i="19"/>
  <c r="CY49" i="19"/>
  <c r="CY50" i="19" s="1"/>
  <c r="CZ13" i="19" l="1"/>
  <c r="CZ14" i="19" s="1"/>
  <c r="CW26" i="19"/>
  <c r="CX25" i="19"/>
  <c r="CY24" i="19"/>
  <c r="CZ49" i="19"/>
  <c r="CZ50" i="19" s="1"/>
  <c r="DA13" i="19" l="1"/>
  <c r="DA14" i="19" s="1"/>
  <c r="CX26" i="19"/>
  <c r="CZ24" i="19"/>
  <c r="CY25" i="19"/>
  <c r="DA49" i="19"/>
  <c r="DA50" i="19" s="1"/>
  <c r="DB13" i="19" l="1"/>
  <c r="DB14" i="19" s="1"/>
  <c r="CY26" i="19"/>
  <c r="CZ25" i="19"/>
  <c r="DA24" i="19"/>
  <c r="DB49" i="19"/>
  <c r="DB50" i="19" s="1"/>
  <c r="DC13" i="19" l="1"/>
  <c r="DC14" i="19" s="1"/>
  <c r="DB24" i="19"/>
  <c r="DA25" i="19"/>
  <c r="CZ26" i="19"/>
  <c r="DC49" i="19"/>
  <c r="DC50" i="19" s="1"/>
  <c r="DD13" i="19" l="1"/>
  <c r="DD14" i="19" s="1"/>
  <c r="DC24" i="19"/>
  <c r="DB25" i="19"/>
  <c r="DA26" i="19"/>
  <c r="DD49" i="19"/>
  <c r="DD50" i="19" s="1"/>
  <c r="DE13" i="19" l="1"/>
  <c r="DE14" i="19" s="1"/>
  <c r="DD24" i="19"/>
  <c r="DC25" i="19"/>
  <c r="DB26" i="19"/>
  <c r="DE49" i="19"/>
  <c r="DE50" i="19" s="1"/>
  <c r="M31" i="14"/>
  <c r="J35" i="6"/>
  <c r="H18" i="4"/>
  <c r="H51" i="3"/>
  <c r="H52" i="3" s="1"/>
  <c r="DF13" i="19" l="1"/>
  <c r="DF14" i="19" s="1"/>
  <c r="DE24" i="19"/>
  <c r="DD25" i="19"/>
  <c r="DC26" i="19"/>
  <c r="DF49" i="19"/>
  <c r="DF50" i="19" s="1"/>
  <c r="H54" i="3"/>
  <c r="H29" i="2" s="1"/>
  <c r="H22" i="4" l="1"/>
  <c r="DG13" i="19"/>
  <c r="DG14" i="19" s="1"/>
  <c r="DD26" i="19"/>
  <c r="DF24" i="19"/>
  <c r="DE25" i="19"/>
  <c r="DG49" i="19"/>
  <c r="DG50" i="19" s="1"/>
  <c r="H56" i="3"/>
  <c r="H17" i="2" s="1"/>
  <c r="E10" i="12"/>
  <c r="J37" i="6"/>
  <c r="J39" i="6" s="1"/>
  <c r="F22" i="14" l="1"/>
  <c r="M22" i="14" s="1"/>
  <c r="F11" i="14" s="1"/>
  <c r="H57" i="3"/>
  <c r="DH13" i="19"/>
  <c r="DH14" i="19" s="1"/>
  <c r="DE26" i="19"/>
  <c r="K68" i="19"/>
  <c r="DG24" i="19"/>
  <c r="DF25" i="19"/>
  <c r="DH49" i="19"/>
  <c r="DH50" i="19" s="1"/>
  <c r="H12" i="4"/>
  <c r="H24" i="4" s="1"/>
  <c r="H21" i="2"/>
  <c r="J43" i="6"/>
  <c r="J41" i="6"/>
  <c r="DI13" i="19" l="1"/>
  <c r="DI14" i="19" s="1"/>
  <c r="DF26" i="19"/>
  <c r="DH24" i="19"/>
  <c r="DG25" i="19"/>
  <c r="DI49" i="19"/>
  <c r="DI50" i="19" s="1"/>
  <c r="M30" i="14"/>
  <c r="J45" i="6"/>
  <c r="DJ13" i="19" l="1"/>
  <c r="DJ14" i="19" s="1"/>
  <c r="DG26" i="19"/>
  <c r="DI24" i="19"/>
  <c r="DH25" i="19"/>
  <c r="DJ49" i="19"/>
  <c r="DJ50" i="19" s="1"/>
  <c r="E14" i="12"/>
  <c r="E20" i="12" s="1"/>
  <c r="DK13" i="19" l="1"/>
  <c r="DK14" i="19" s="1"/>
  <c r="DH26" i="19"/>
  <c r="DJ24" i="19"/>
  <c r="DI25" i="19"/>
  <c r="DK49" i="19"/>
  <c r="DK50" i="19" s="1"/>
  <c r="F26" i="14"/>
  <c r="DL13" i="19" l="1"/>
  <c r="DL14" i="19" s="1"/>
  <c r="DJ25" i="19"/>
  <c r="DK24" i="19"/>
  <c r="DI26" i="19"/>
  <c r="DL49" i="19"/>
  <c r="DL50" i="19" s="1"/>
  <c r="DM13" i="19" l="1"/>
  <c r="DM14" i="19" s="1"/>
  <c r="DL24" i="19"/>
  <c r="DK25" i="19"/>
  <c r="DJ26" i="19"/>
  <c r="DM49" i="19"/>
  <c r="DM50" i="19" s="1"/>
  <c r="DN13" i="19" l="1"/>
  <c r="DN14" i="19" s="1"/>
  <c r="DL25" i="19"/>
  <c r="DM24" i="19"/>
  <c r="DK26" i="19"/>
  <c r="DN49" i="19"/>
  <c r="DN50" i="19" s="1"/>
  <c r="DO13" i="19" l="1"/>
  <c r="DO14" i="19" s="1"/>
  <c r="DL26" i="19"/>
  <c r="DM25" i="19"/>
  <c r="DN24" i="19"/>
  <c r="DO49" i="19"/>
  <c r="DO50" i="19" s="1"/>
  <c r="DP13" i="19" l="1"/>
  <c r="DP14" i="19" s="1"/>
  <c r="DN25" i="19"/>
  <c r="DO24" i="19"/>
  <c r="DM26" i="19"/>
  <c r="DP49" i="19"/>
  <c r="DP50" i="19" s="1"/>
  <c r="DQ13" i="19" l="1"/>
  <c r="DQ14" i="19" s="1"/>
  <c r="DN26" i="19"/>
  <c r="DP24" i="19"/>
  <c r="DO25" i="19"/>
  <c r="DQ49" i="19"/>
  <c r="DQ50" i="19" s="1"/>
  <c r="DR13" i="19" l="1"/>
  <c r="DR14" i="19" s="1"/>
  <c r="DO26" i="19"/>
  <c r="DP25" i="19"/>
  <c r="DQ24" i="19"/>
  <c r="DR49" i="19"/>
  <c r="DR50" i="19" s="1"/>
  <c r="DQ25" i="19" l="1"/>
  <c r="DR24" i="19"/>
  <c r="DP26" i="19"/>
  <c r="DQ26" i="19" l="1"/>
  <c r="DR25" i="19"/>
  <c r="L68" i="19"/>
  <c r="DR26" i="19" l="1"/>
  <c r="L35" i="6" l="1"/>
  <c r="I18" i="4"/>
  <c r="I51" i="3"/>
  <c r="I52" i="3" s="1"/>
  <c r="N31" i="14"/>
  <c r="I54" i="3" l="1"/>
  <c r="I29" i="2" s="1"/>
  <c r="I22" i="4" l="1"/>
  <c r="I56" i="3"/>
  <c r="I17" i="2" s="1"/>
  <c r="F10" i="12"/>
  <c r="L37" i="6"/>
  <c r="L39" i="6" s="1"/>
  <c r="G22" i="14" l="1"/>
  <c r="N22" i="14" s="1"/>
  <c r="G11" i="14" s="1"/>
  <c r="I57" i="3"/>
  <c r="I12" i="4"/>
  <c r="I24" i="4" s="1"/>
  <c r="I21" i="2"/>
  <c r="L41" i="6"/>
  <c r="L43" i="6"/>
  <c r="N30" i="14" l="1"/>
  <c r="L45" i="6"/>
  <c r="F14" i="12" l="1"/>
  <c r="F20" i="12" s="1"/>
  <c r="G26" i="14" l="1"/>
  <c r="J18" i="4" l="1"/>
  <c r="N35" i="6"/>
  <c r="J51" i="3"/>
  <c r="J52" i="3" s="1"/>
  <c r="O31" i="14"/>
  <c r="J54" i="3" l="1"/>
  <c r="G10" i="12" l="1"/>
  <c r="J29" i="2"/>
  <c r="N37" i="6"/>
  <c r="N39" i="6" s="1"/>
  <c r="J56" i="3"/>
  <c r="J17" i="2" s="1"/>
  <c r="H22" i="14" l="1"/>
  <c r="O22" i="14" s="1"/>
  <c r="H11" i="14" s="1"/>
  <c r="J57" i="3"/>
  <c r="J22" i="4"/>
  <c r="J12" i="4"/>
  <c r="J21" i="2"/>
  <c r="O30" i="14" s="1"/>
  <c r="N41" i="6"/>
  <c r="N43" i="6"/>
  <c r="J24" i="4" l="1"/>
  <c r="N45" i="6"/>
  <c r="G14" i="12" l="1"/>
  <c r="G21" i="12" l="1"/>
  <c r="G22" i="12" s="1"/>
  <c r="G20" i="12"/>
  <c r="H26" i="14"/>
  <c r="G24" i="12" l="1"/>
  <c r="G25" i="12" l="1"/>
  <c r="C29" i="12"/>
  <c r="D29" i="12" l="1"/>
  <c r="C31" i="12"/>
  <c r="C33" i="12" l="1"/>
  <c r="D31" i="12"/>
  <c r="C34" i="12" l="1"/>
  <c r="D34" i="12" s="1"/>
  <c r="D33" i="12"/>
  <c r="C35" i="12" l="1"/>
  <c r="D35" i="12" l="1"/>
  <c r="B39" i="12" s="1"/>
  <c r="D33" i="14"/>
  <c r="D36" i="14"/>
  <c r="E47" i="15" l="1"/>
  <c r="E48" i="15" s="1"/>
  <c r="E40" i="14"/>
  <c r="E43" i="14" s="1"/>
  <c r="E45" i="14" s="1"/>
  <c r="K18" i="4"/>
  <c r="K38" i="4" s="1"/>
  <c r="P35" i="6"/>
  <c r="K51" i="3"/>
  <c r="K52" i="3" s="1"/>
  <c r="K54" i="3" l="1"/>
  <c r="K56" i="3" l="1"/>
  <c r="K17" i="2" s="1"/>
  <c r="K29" i="2"/>
  <c r="P37" i="6"/>
  <c r="P39" i="6" s="1"/>
  <c r="K12" i="4" l="1"/>
  <c r="K57" i="3"/>
  <c r="K22" i="4"/>
  <c r="P43" i="6"/>
  <c r="P45" i="6" s="1"/>
  <c r="P41" i="6"/>
  <c r="K21" i="2"/>
  <c r="K24" i="4" l="1"/>
  <c r="K54" i="4"/>
  <c r="R35" i="6" l="1"/>
  <c r="L18" i="4"/>
  <c r="L38" i="4" s="1"/>
  <c r="L51" i="3"/>
  <c r="L52" i="3" s="1"/>
  <c r="L54" i="3" l="1"/>
  <c r="L56" i="3" l="1"/>
  <c r="L29" i="2"/>
  <c r="L12" i="4"/>
  <c r="R37" i="6"/>
  <c r="R39" i="6" s="1"/>
  <c r="L57" i="3" l="1"/>
  <c r="L17" i="2"/>
  <c r="L22" i="4"/>
  <c r="L24" i="4" s="1"/>
  <c r="L21" i="2"/>
  <c r="R43" i="6"/>
  <c r="R45" i="6" s="1"/>
  <c r="R41" i="6"/>
  <c r="L54" i="4" l="1"/>
  <c r="T35" i="6" l="1"/>
  <c r="M18" i="4"/>
  <c r="M38" i="4" s="1"/>
  <c r="M51" i="3"/>
  <c r="M52" i="3" s="1"/>
  <c r="M54" i="3" l="1"/>
  <c r="M56" i="3" l="1"/>
  <c r="M17" i="2" s="1"/>
  <c r="M29" i="2"/>
  <c r="T37" i="6"/>
  <c r="T39" i="6" s="1"/>
  <c r="M12" i="4" l="1"/>
  <c r="M57" i="3"/>
  <c r="M22" i="4"/>
  <c r="M24" i="4" s="1"/>
  <c r="M21" i="2"/>
  <c r="T43" i="6"/>
  <c r="T45" i="6" s="1"/>
  <c r="T41" i="6"/>
  <c r="M54" i="4" l="1"/>
  <c r="V35" i="6" l="1"/>
  <c r="N18" i="4"/>
  <c r="N38" i="4" s="1"/>
  <c r="N51" i="3"/>
  <c r="N52" i="3" s="1"/>
  <c r="N54" i="3" l="1"/>
  <c r="N56" i="3" l="1"/>
  <c r="N29" i="2"/>
  <c r="V37" i="6"/>
  <c r="V39" i="6" s="1"/>
  <c r="N57" i="3" l="1"/>
  <c r="N17" i="2"/>
  <c r="N12" i="4"/>
  <c r="N22" i="4"/>
  <c r="N21" i="2"/>
  <c r="V41" i="6"/>
  <c r="V43" i="6"/>
  <c r="V45" i="6" s="1"/>
  <c r="N24" i="4" l="1"/>
  <c r="N54" i="4" s="1"/>
  <c r="O18" i="4" l="1"/>
  <c r="X35" i="6"/>
  <c r="O51" i="3"/>
  <c r="O52" i="3" s="1"/>
  <c r="O38" i="4" l="1"/>
  <c r="O54" i="3"/>
  <c r="O56" i="3" l="1"/>
  <c r="O17" i="2" s="1"/>
  <c r="O29" i="2"/>
  <c r="X37" i="6"/>
  <c r="X39" i="6" s="1"/>
  <c r="O12" i="4" l="1"/>
  <c r="O57" i="3"/>
  <c r="O21" i="2"/>
  <c r="O22" i="4"/>
  <c r="X43" i="6"/>
  <c r="X41" i="6"/>
  <c r="O24" i="4" l="1"/>
  <c r="O54" i="4" s="1"/>
  <c r="X45" i="6"/>
  <c r="F49" i="6" s="1"/>
  <c r="F47" i="6"/>
  <c r="J38" i="4" l="1"/>
  <c r="H28" i="14" s="1"/>
  <c r="H29" i="14" s="1"/>
  <c r="W31" i="15" s="1"/>
  <c r="I38" i="4"/>
  <c r="G28" i="14" s="1"/>
  <c r="G29" i="14" s="1"/>
  <c r="V31" i="15" s="1"/>
  <c r="I54" i="4"/>
  <c r="H38" i="4"/>
  <c r="G38" i="4"/>
  <c r="G54" i="4" s="1"/>
  <c r="G58" i="4" s="1"/>
  <c r="E28" i="14"/>
  <c r="E29" i="14" s="1"/>
  <c r="G11" i="2"/>
  <c r="J54" i="4" l="1"/>
  <c r="T31" i="15"/>
  <c r="E30" i="14"/>
  <c r="T32" i="15" s="1"/>
  <c r="G51" i="2"/>
  <c r="H56" i="4"/>
  <c r="H54" i="4"/>
  <c r="F28" i="14"/>
  <c r="F29" i="14" s="1"/>
  <c r="U31" i="15" s="1"/>
  <c r="G32" i="2"/>
  <c r="H11" i="2"/>
  <c r="G66" i="2"/>
  <c r="L32" i="14"/>
  <c r="L33" i="14" s="1"/>
  <c r="G62" i="2"/>
  <c r="H32" i="2" l="1"/>
  <c r="H62" i="2"/>
  <c r="H64" i="2" s="1"/>
  <c r="I11" i="2"/>
  <c r="M32" i="14"/>
  <c r="M33" i="14" s="1"/>
  <c r="H66" i="2"/>
  <c r="H58" i="4"/>
  <c r="F25" i="14"/>
  <c r="F30" i="14" s="1"/>
  <c r="U32" i="15" s="1"/>
  <c r="G64" i="2"/>
  <c r="G2" i="4"/>
  <c r="G3" i="4" s="1"/>
  <c r="G45" i="2"/>
  <c r="G68" i="2"/>
  <c r="I56" i="4" l="1"/>
  <c r="H51" i="2"/>
  <c r="H68" i="2"/>
  <c r="L27" i="14"/>
  <c r="L28" i="14" s="1"/>
  <c r="G56" i="2"/>
  <c r="G57" i="2" s="1"/>
  <c r="I66" i="2"/>
  <c r="N32" i="14"/>
  <c r="N33" i="14" s="1"/>
  <c r="I32" i="2"/>
  <c r="I62" i="2"/>
  <c r="I64" i="2" s="1"/>
  <c r="J11" i="2"/>
  <c r="G74" i="2" l="1"/>
  <c r="G2" i="2"/>
  <c r="H2" i="4"/>
  <c r="H3" i="4" s="1"/>
  <c r="H45" i="2"/>
  <c r="K11" i="2"/>
  <c r="J62" i="2"/>
  <c r="J32" i="2"/>
  <c r="O32" i="14"/>
  <c r="O33" i="14" s="1"/>
  <c r="J66" i="2"/>
  <c r="I68" i="2"/>
  <c r="G25" i="14"/>
  <c r="G30" i="14" s="1"/>
  <c r="V32" i="15" s="1"/>
  <c r="I58" i="4"/>
  <c r="I51" i="2" l="1"/>
  <c r="J56" i="4"/>
  <c r="G76" i="2"/>
  <c r="K66" i="2"/>
  <c r="K68" i="2" s="1"/>
  <c r="L11" i="2"/>
  <c r="K62" i="2"/>
  <c r="K32" i="2"/>
  <c r="H56" i="2"/>
  <c r="H57" i="2" s="1"/>
  <c r="M27" i="14"/>
  <c r="M28" i="14" s="1"/>
  <c r="J64" i="2"/>
  <c r="J68" i="2"/>
  <c r="H74" i="2" l="1"/>
  <c r="H2" i="2"/>
  <c r="L66" i="2"/>
  <c r="M11" i="2"/>
  <c r="L62" i="2"/>
  <c r="L64" i="2" s="1"/>
  <c r="L32" i="2"/>
  <c r="L68" i="2"/>
  <c r="J58" i="4"/>
  <c r="H25" i="14"/>
  <c r="H30" i="14" s="1"/>
  <c r="W32" i="15" s="1"/>
  <c r="I45" i="2"/>
  <c r="I2" i="4"/>
  <c r="I3" i="4" s="1"/>
  <c r="K64" i="2"/>
  <c r="K56" i="4" l="1"/>
  <c r="K58" i="4" s="1"/>
  <c r="J51" i="2"/>
  <c r="M66" i="2"/>
  <c r="N11" i="2"/>
  <c r="M32" i="2"/>
  <c r="M62" i="2"/>
  <c r="M68" i="2"/>
  <c r="N27" i="14"/>
  <c r="N28" i="14" s="1"/>
  <c r="I56" i="2"/>
  <c r="I57" i="2" s="1"/>
  <c r="H76" i="2"/>
  <c r="J2" i="4" l="1"/>
  <c r="J3" i="4" s="1"/>
  <c r="J45" i="2"/>
  <c r="N32" i="2"/>
  <c r="N66" i="2"/>
  <c r="N62" i="2"/>
  <c r="O11" i="2"/>
  <c r="N68" i="2"/>
  <c r="M64" i="2"/>
  <c r="I74" i="2"/>
  <c r="I2" i="2"/>
  <c r="K51" i="2"/>
  <c r="L56" i="4"/>
  <c r="L58" i="4" s="1"/>
  <c r="N64" i="2" l="1"/>
  <c r="I76" i="2"/>
  <c r="J56" i="2"/>
  <c r="J57" i="2" s="1"/>
  <c r="O27" i="14"/>
  <c r="O28" i="14" s="1"/>
  <c r="O66" i="2"/>
  <c r="O68" i="2" s="1"/>
  <c r="O32" i="2"/>
  <c r="O62" i="2"/>
  <c r="O64" i="2" s="1"/>
  <c r="M56" i="4"/>
  <c r="M58" i="4" s="1"/>
  <c r="L51" i="2"/>
  <c r="K2" i="4"/>
  <c r="K3" i="4" s="1"/>
  <c r="K45" i="2"/>
  <c r="K56" i="2" s="1"/>
  <c r="K57" i="2" s="1"/>
  <c r="L2" i="4" l="1"/>
  <c r="L3" i="4" s="1"/>
  <c r="L45" i="2"/>
  <c r="L56" i="2" s="1"/>
  <c r="L57" i="2" s="1"/>
  <c r="K74" i="2"/>
  <c r="K2" i="2"/>
  <c r="J2" i="2"/>
  <c r="J74" i="2"/>
  <c r="N56" i="4"/>
  <c r="N58" i="4" s="1"/>
  <c r="M51" i="2"/>
  <c r="O56" i="4" l="1"/>
  <c r="O58" i="4" s="1"/>
  <c r="O51" i="2" s="1"/>
  <c r="N51" i="2"/>
  <c r="L2" i="2"/>
  <c r="L74" i="2"/>
  <c r="M45" i="2"/>
  <c r="M56" i="2" s="1"/>
  <c r="M57" i="2" s="1"/>
  <c r="M2" i="4"/>
  <c r="M3" i="4" s="1"/>
  <c r="K76" i="2"/>
  <c r="J76" i="2"/>
  <c r="M2" i="2" l="1"/>
  <c r="M74" i="2"/>
  <c r="N2" i="4"/>
  <c r="N3" i="4" s="1"/>
  <c r="N45" i="2"/>
  <c r="N56" i="2" s="1"/>
  <c r="N57" i="2" s="1"/>
  <c r="M76" i="2"/>
  <c r="L76" i="2"/>
  <c r="O2" i="4"/>
  <c r="O3" i="4" s="1"/>
  <c r="O45" i="2"/>
  <c r="O56" i="2" s="1"/>
  <c r="O57" i="2" s="1"/>
  <c r="N2" i="2" l="1"/>
  <c r="N74" i="2"/>
  <c r="N76" i="2"/>
  <c r="O74" i="2"/>
  <c r="O2" i="2"/>
  <c r="O7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<sst xmlns="http://schemas.openxmlformats.org/spreadsheetml/2006/main" count="784" uniqueCount="518">
  <si>
    <t>Annual Sales / Revenue</t>
  </si>
  <si>
    <t>SI No.</t>
  </si>
  <si>
    <t>Particulars</t>
  </si>
  <si>
    <t>FY 2025-26 (₹)</t>
  </si>
  <si>
    <t>Corporate Sales</t>
  </si>
  <si>
    <t>Millet Cafeteria</t>
  </si>
  <si>
    <t>Retail Market Sales</t>
  </si>
  <si>
    <t>Export Sales</t>
  </si>
  <si>
    <t>Total</t>
  </si>
  <si>
    <t>Check (Assets - Liabilities)</t>
  </si>
  <si>
    <t xml:space="preserve">                                                                                                        Balance sheet</t>
  </si>
  <si>
    <t>Liabilities</t>
  </si>
  <si>
    <t>A</t>
  </si>
  <si>
    <r>
      <t xml:space="preserve">Closing Capital </t>
    </r>
    <r>
      <rPr>
        <sz val="9"/>
        <color rgb="FF201658"/>
        <rFont val="Ubuntu"/>
        <family val="2"/>
      </rPr>
      <t>( i + ii + iii - iv )</t>
    </r>
  </si>
  <si>
    <t>ii) Additional Capital</t>
  </si>
  <si>
    <t>iii) Profit / (Loss)</t>
  </si>
  <si>
    <t>B</t>
  </si>
  <si>
    <t>Non-Current Liabilities</t>
  </si>
  <si>
    <t>C</t>
  </si>
  <si>
    <t>Current Liabilities</t>
  </si>
  <si>
    <t>Trade Payables</t>
  </si>
  <si>
    <t>Payables Days</t>
  </si>
  <si>
    <t>Other liabilities</t>
  </si>
  <si>
    <t>Provision for Tax</t>
  </si>
  <si>
    <t>Total Liabilities</t>
  </si>
  <si>
    <t>Assets</t>
  </si>
  <si>
    <t xml:space="preserve"> </t>
  </si>
  <si>
    <t>Non-Current Assets</t>
  </si>
  <si>
    <t>Fixed Assets</t>
  </si>
  <si>
    <t>Other Non-Current Assets</t>
  </si>
  <si>
    <t>D</t>
  </si>
  <si>
    <t>Current Assets</t>
  </si>
  <si>
    <t>Inventory</t>
  </si>
  <si>
    <t>Trade Receivables</t>
  </si>
  <si>
    <t>Receivables Days</t>
  </si>
  <si>
    <t>Cash and Cash equivalence</t>
  </si>
  <si>
    <t>Other Current Assets</t>
  </si>
  <si>
    <t>Advance Tax</t>
  </si>
  <si>
    <t>Total Assets</t>
  </si>
  <si>
    <t>Net Worth</t>
  </si>
  <si>
    <t>Average Net Worth</t>
  </si>
  <si>
    <t>Capital Employed</t>
  </si>
  <si>
    <t>Average Capital Employed</t>
  </si>
  <si>
    <t>Average Fixed Assets</t>
  </si>
  <si>
    <t xml:space="preserve">                                                                                                            Profitability Statement</t>
  </si>
  <si>
    <t>Ref Sheet</t>
  </si>
  <si>
    <t>Revenue from Operations</t>
  </si>
  <si>
    <t>RFO</t>
  </si>
  <si>
    <t>Cost of Materials Sold</t>
  </si>
  <si>
    <t>MC</t>
  </si>
  <si>
    <r>
      <t xml:space="preserve">Gross Profit </t>
    </r>
    <r>
      <rPr>
        <sz val="9"/>
        <color rgb="FF201658"/>
        <rFont val="Ubuntu"/>
        <family val="2"/>
      </rPr>
      <t>[1-2]</t>
    </r>
  </si>
  <si>
    <t>Indirect Expenses</t>
  </si>
  <si>
    <t>IE</t>
  </si>
  <si>
    <r>
      <t>EBITDA</t>
    </r>
    <r>
      <rPr>
        <sz val="11"/>
        <color rgb="FF201658"/>
        <rFont val="Ubuntu"/>
        <family val="2"/>
      </rPr>
      <t xml:space="preserve"> </t>
    </r>
    <r>
      <rPr>
        <sz val="9"/>
        <color rgb="FF201658"/>
        <rFont val="Ubuntu"/>
        <family val="2"/>
      </rPr>
      <t>[3-4]</t>
    </r>
  </si>
  <si>
    <t>Depreciation &amp; Amortisation</t>
  </si>
  <si>
    <t>DAS</t>
  </si>
  <si>
    <r>
      <t>EBIT</t>
    </r>
    <r>
      <rPr>
        <sz val="11"/>
        <color rgb="FF201658"/>
        <rFont val="Ubuntu"/>
        <family val="2"/>
      </rPr>
      <t xml:space="preserve"> </t>
    </r>
    <r>
      <rPr>
        <sz val="9"/>
        <color rgb="FF201658"/>
        <rFont val="Ubuntu"/>
        <family val="2"/>
      </rPr>
      <t>[5-7]</t>
    </r>
  </si>
  <si>
    <t>Finance Cost</t>
  </si>
  <si>
    <t>LRS</t>
  </si>
  <si>
    <r>
      <t xml:space="preserve">PBT </t>
    </r>
    <r>
      <rPr>
        <sz val="9"/>
        <color rgb="FF201658"/>
        <rFont val="Ubuntu"/>
        <family val="2"/>
      </rPr>
      <t>[8-9]</t>
    </r>
  </si>
  <si>
    <t>Tax Expenses</t>
  </si>
  <si>
    <r>
      <t>PAT</t>
    </r>
    <r>
      <rPr>
        <sz val="11"/>
        <color rgb="FF201658"/>
        <rFont val="Ubuntu"/>
        <family val="2"/>
      </rPr>
      <t xml:space="preserve"> </t>
    </r>
    <r>
      <rPr>
        <sz val="9"/>
        <color rgb="FF201658"/>
        <rFont val="Ubuntu"/>
        <family val="2"/>
      </rPr>
      <t>[10-11]</t>
    </r>
  </si>
  <si>
    <t>As Per BS</t>
  </si>
  <si>
    <t>Check</t>
  </si>
  <si>
    <t xml:space="preserve">                                                                                                     Cash Flow Statement</t>
  </si>
  <si>
    <t>A. Operating Activities</t>
  </si>
  <si>
    <t>Net Profit After Tax</t>
  </si>
  <si>
    <t>Adjustments to net profits</t>
  </si>
  <si>
    <t>B. Financing Activities</t>
  </si>
  <si>
    <t>Promoters contribution</t>
  </si>
  <si>
    <t>Term loans &amp; Borrowings</t>
  </si>
  <si>
    <t>Loan repayment</t>
  </si>
  <si>
    <t>Interest Repayment</t>
  </si>
  <si>
    <t>C. Investing Activities</t>
  </si>
  <si>
    <t>Acquisition of fixed assets</t>
  </si>
  <si>
    <t>Disposal of fixed assets</t>
  </si>
  <si>
    <t>Movement in other non-current assets</t>
  </si>
  <si>
    <t>Net cash flows from all activities</t>
  </si>
  <si>
    <t>Opening cash balance</t>
  </si>
  <si>
    <t>Closing cash balance</t>
  </si>
  <si>
    <t>Depreciation And Amortisation Schedule</t>
  </si>
  <si>
    <t>Property, Plant and Equipment</t>
  </si>
  <si>
    <t>Opening</t>
  </si>
  <si>
    <t>Computers &amp; Peripherals</t>
  </si>
  <si>
    <t>Additions</t>
  </si>
  <si>
    <t>Depreciation</t>
  </si>
  <si>
    <t>Closing</t>
  </si>
  <si>
    <t xml:space="preserve">  Plant and Machinery</t>
  </si>
  <si>
    <t>Furniture and Fixtures</t>
  </si>
  <si>
    <t>Motor Vehicles</t>
  </si>
  <si>
    <t xml:space="preserve">Lab equipment </t>
  </si>
  <si>
    <t xml:space="preserve">Electricals &amp; Fittings </t>
  </si>
  <si>
    <t>Office equipment</t>
  </si>
  <si>
    <t>Leasehold improvements</t>
  </si>
  <si>
    <t>Barcode Rights</t>
  </si>
  <si>
    <t>Total of 
Property, Plant and Equipment</t>
  </si>
  <si>
    <t xml:space="preserve">Closing of PPE </t>
  </si>
  <si>
    <t>Break Even Analysis</t>
  </si>
  <si>
    <t>Sales</t>
  </si>
  <si>
    <t>Variable Expenses</t>
  </si>
  <si>
    <t>Material Cost &amp; Direct Labour</t>
  </si>
  <si>
    <t>Customs and Handling Charges</t>
  </si>
  <si>
    <t>Advertise and Marktg Exp</t>
  </si>
  <si>
    <t>E</t>
  </si>
  <si>
    <t>Staff Salary</t>
  </si>
  <si>
    <t>F</t>
  </si>
  <si>
    <t>Legal &amp; Professional Fee</t>
  </si>
  <si>
    <t>H</t>
  </si>
  <si>
    <t>Total of Variable Expenses</t>
  </si>
  <si>
    <t>I</t>
  </si>
  <si>
    <r>
      <t xml:space="preserve">Contribution Margin </t>
    </r>
    <r>
      <rPr>
        <sz val="9"/>
        <color rgb="FF201658"/>
        <rFont val="Ubuntu"/>
        <family val="2"/>
      </rPr>
      <t>(A-J)</t>
    </r>
  </si>
  <si>
    <t>J</t>
  </si>
  <si>
    <r>
      <t xml:space="preserve">Contribution Margin Ratio </t>
    </r>
    <r>
      <rPr>
        <sz val="9"/>
        <color rgb="FF201658"/>
        <rFont val="Ubuntu"/>
        <family val="2"/>
      </rPr>
      <t>(K/A)</t>
    </r>
  </si>
  <si>
    <t>Fixed Expenses</t>
  </si>
  <si>
    <t>K</t>
  </si>
  <si>
    <t>Rent Expenses</t>
  </si>
  <si>
    <t>L</t>
  </si>
  <si>
    <t>Depreciation &amp; Amortization</t>
  </si>
  <si>
    <t>M</t>
  </si>
  <si>
    <t>N</t>
  </si>
  <si>
    <t>O</t>
  </si>
  <si>
    <t>Total of Fixed Expenses</t>
  </si>
  <si>
    <t>P</t>
  </si>
  <si>
    <r>
      <t xml:space="preserve">Fixed Expenses Ratio </t>
    </r>
    <r>
      <rPr>
        <sz val="9"/>
        <color rgb="FF201658"/>
        <rFont val="Ubuntu"/>
        <family val="2"/>
      </rPr>
      <t>(T/A)</t>
    </r>
  </si>
  <si>
    <t>Q</t>
  </si>
  <si>
    <r>
      <t xml:space="preserve">Break-Even Sales </t>
    </r>
    <r>
      <rPr>
        <sz val="9"/>
        <color rgb="FF201658"/>
        <rFont val="Ubuntu"/>
        <family val="2"/>
      </rPr>
      <t>(T/L)</t>
    </r>
  </si>
  <si>
    <t>R</t>
  </si>
  <si>
    <r>
      <t xml:space="preserve">Break-Even Percentage </t>
    </r>
    <r>
      <rPr>
        <sz val="9"/>
        <color rgb="FF201658"/>
        <rFont val="Ubuntu"/>
        <family val="2"/>
      </rPr>
      <t>(V/A)</t>
    </r>
  </si>
  <si>
    <t>Average Break-Even Sales</t>
  </si>
  <si>
    <t>Average Break-Even Percentage</t>
  </si>
  <si>
    <t>EMI</t>
  </si>
  <si>
    <t>Month</t>
  </si>
  <si>
    <t>Closing Balance</t>
  </si>
  <si>
    <t>Assessment of Trade Receivables</t>
  </si>
  <si>
    <t>Total Expenses</t>
  </si>
  <si>
    <t>Valuation - Discounted Cash Flow (DCF)</t>
  </si>
  <si>
    <t>Perpetual Growth Method</t>
  </si>
  <si>
    <t>WACC Calculation</t>
  </si>
  <si>
    <t>Year-1</t>
  </si>
  <si>
    <t>Year-2</t>
  </si>
  <si>
    <t>Year-3</t>
  </si>
  <si>
    <t>Year-4</t>
  </si>
  <si>
    <t>Year-5</t>
  </si>
  <si>
    <t>Capital Structure</t>
  </si>
  <si>
    <t>Years Timeline</t>
  </si>
  <si>
    <t>Debt to Total Capitalization</t>
  </si>
  <si>
    <t>EBIT</t>
  </si>
  <si>
    <t>Equity to Total Capitalization</t>
  </si>
  <si>
    <t>(-) Tax</t>
  </si>
  <si>
    <t>Debt/Equity</t>
  </si>
  <si>
    <t>(+) Depreciation</t>
  </si>
  <si>
    <t>(-) Change in Capex</t>
  </si>
  <si>
    <t>Cost of Equity Calculation</t>
  </si>
  <si>
    <t>(-) WC Increase</t>
  </si>
  <si>
    <t>Risk free Rate</t>
  </si>
  <si>
    <t>Free Cash Flow</t>
  </si>
  <si>
    <t>Equity Risk Premium</t>
  </si>
  <si>
    <t>Size Risk premium for Startups</t>
  </si>
  <si>
    <t>Levered Beta</t>
  </si>
  <si>
    <t>Terminal Growth Rate</t>
  </si>
  <si>
    <t>Company Specific Risk Premium</t>
  </si>
  <si>
    <t>Discounting Factor</t>
  </si>
  <si>
    <t>Adjusted Cost of Equity</t>
  </si>
  <si>
    <t>Present Value of Cashflows</t>
  </si>
  <si>
    <t>Cost of Debt Calculation</t>
  </si>
  <si>
    <t>Terminal Value</t>
  </si>
  <si>
    <t xml:space="preserve">Cost of Debt </t>
  </si>
  <si>
    <t>Present Value of Terminal Value</t>
  </si>
  <si>
    <t>Tax rate</t>
  </si>
  <si>
    <t xml:space="preserve">After Tax Cost of Debt </t>
  </si>
  <si>
    <t>Value as per DCF (INR Crore)</t>
  </si>
  <si>
    <t>Adjusted WACC</t>
  </si>
  <si>
    <t>Sustainable Growth rate post 5 Y</t>
  </si>
  <si>
    <t>Discount for Lack of Marketability</t>
  </si>
  <si>
    <t>Value as per DCF</t>
  </si>
  <si>
    <t>Add- Cash and Cash Equivalent at Start Date</t>
  </si>
  <si>
    <t>Total Company Valuation</t>
  </si>
  <si>
    <t>Less-Debt Outstanding at Start Date</t>
  </si>
  <si>
    <t>Equity Value of Company</t>
  </si>
  <si>
    <t>Less-Discount for Lack of Marketability</t>
  </si>
  <si>
    <t>Valuation of Equity (Post funding)</t>
  </si>
  <si>
    <t>Sensitivity Analysis</t>
  </si>
  <si>
    <t>WACC</t>
  </si>
  <si>
    <t>Config</t>
  </si>
  <si>
    <t>Feel free to change the cells in orange</t>
  </si>
  <si>
    <t>Value</t>
  </si>
  <si>
    <t>Cash in Hand</t>
  </si>
  <si>
    <t>Loan Balance</t>
  </si>
  <si>
    <t>Opening Inventory</t>
  </si>
  <si>
    <t>Opening A/C Payable</t>
  </si>
  <si>
    <t>Opening A/C Receivable</t>
  </si>
  <si>
    <t>Funding Round</t>
  </si>
  <si>
    <t>Amount</t>
  </si>
  <si>
    <t>Round-1</t>
  </si>
  <si>
    <t>M1</t>
  </si>
  <si>
    <t>Round-2</t>
  </si>
  <si>
    <t>M13</t>
  </si>
  <si>
    <t>Round-3</t>
  </si>
  <si>
    <t>M25</t>
  </si>
  <si>
    <t>Round-4</t>
  </si>
  <si>
    <t>M37</t>
  </si>
  <si>
    <t>Round-5</t>
  </si>
  <si>
    <t>Round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</si>
  <si>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</si>
  <si>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</si>
  <si>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</si>
  <si>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</si>
  <si>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</si>
  <si>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</si>
  <si>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</si>
  <si>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</si>
  <si>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</si>
  <si>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</si>
  <si>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</si>
  <si>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</si>
  <si>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</si>
  <si>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</si>
  <si>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</si>
  <si>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</si>
  <si>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</si>
  <si>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</si>
  <si>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</si>
  <si>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</si>
  <si>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</si>
  <si>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</si>
  <si>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</si>
  <si>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</si>
  <si>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</si>
  <si>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</si>
  <si>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</si>
  <si>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</si>
  <si>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</si>
  <si>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</si>
  <si>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</si>
  <si>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</si>
  <si>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</si>
  <si>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</si>
  <si>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</si>
  <si>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</si>
  <si>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</si>
  <si>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</si>
  <si>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</si>
  <si>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</si>
  <si>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</si>
  <si>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</si>
  <si>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</si>
  <si>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</si>
  <si>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</si>
  <si>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</si>
  <si>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</si>
  <si>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</si>
  <si>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</si>
  <si>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</si>
  <si>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</si>
  <si>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</si>
  <si>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</si>
  <si>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</si>
  <si>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</si>
  <si>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</si>
  <si>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Effective Income Tax</t>
  </si>
  <si>
    <t xml:space="preserve">Revenue </t>
  </si>
  <si>
    <t xml:space="preserve">Segmental Revenue </t>
  </si>
  <si>
    <t>Total Revenue</t>
  </si>
  <si>
    <t>% Net Profit</t>
  </si>
  <si>
    <t>Profit &amp; Loss</t>
  </si>
  <si>
    <t>Net Revenue</t>
  </si>
  <si>
    <t>Direct Cost</t>
  </si>
  <si>
    <t>Gross Profit</t>
  </si>
  <si>
    <t>Marketing</t>
  </si>
  <si>
    <t>Payroll</t>
  </si>
  <si>
    <t>Other Operating Expenses</t>
  </si>
  <si>
    <t>EBITDA</t>
  </si>
  <si>
    <t>Net Profit</t>
  </si>
  <si>
    <t>Cash Flow Statement</t>
  </si>
  <si>
    <t>Balance Sheet</t>
  </si>
  <si>
    <t>Opening Balance</t>
  </si>
  <si>
    <t>Cash Flow from Operating Activities</t>
  </si>
  <si>
    <t>Fixed Assets (Tangible &amp; Intangible)</t>
  </si>
  <si>
    <t>Cash Flow from Investing Activities</t>
  </si>
  <si>
    <t>Cash Flow from Financing Activities</t>
  </si>
  <si>
    <t>Net Cash Flow</t>
  </si>
  <si>
    <t>Non-current liabilities</t>
  </si>
  <si>
    <t>Equity Share Capital</t>
  </si>
  <si>
    <t>Charts</t>
  </si>
  <si>
    <t>USD</t>
  </si>
  <si>
    <t>lacs</t>
  </si>
  <si>
    <t>INR</t>
  </si>
  <si>
    <t>Crore</t>
  </si>
  <si>
    <t>AED</t>
  </si>
  <si>
    <t>Million</t>
  </si>
  <si>
    <t xml:space="preserve">Revenue &amp; Profitability </t>
  </si>
  <si>
    <t>Cash Analysis &amp; Balance Sheet</t>
  </si>
  <si>
    <t>Cash Burn/Cash Saving</t>
  </si>
  <si>
    <t>Ending Cash Balance</t>
  </si>
  <si>
    <t>Funding Requirement</t>
  </si>
  <si>
    <t xml:space="preserve">Total Funds Requirement </t>
  </si>
  <si>
    <t>Funds Utilization</t>
  </si>
  <si>
    <t xml:space="preserve">Valuation </t>
  </si>
  <si>
    <t xml:space="preserve">Equity Dilution </t>
  </si>
  <si>
    <t>5-Year Financial Projections - Semis Foods</t>
  </si>
  <si>
    <t>25-26</t>
  </si>
  <si>
    <t>26-27</t>
  </si>
  <si>
    <t>27-28</t>
  </si>
  <si>
    <t>29-30</t>
  </si>
  <si>
    <t>28-29</t>
  </si>
  <si>
    <t>Cash flows from Operating Activities</t>
  </si>
  <si>
    <t>Cash flows from Financing Activities</t>
  </si>
  <si>
    <t>Cash flows from Investing Activities</t>
  </si>
  <si>
    <t>Amount in INR Lakhs</t>
  </si>
  <si>
    <t>Total Funding in Lakhs</t>
  </si>
  <si>
    <t>Value as per DCF (INR Lakhs)</t>
  </si>
  <si>
    <t>INR Lakhs</t>
  </si>
  <si>
    <t>INR Crores</t>
  </si>
  <si>
    <t>Company Valuation-Venture Capital</t>
  </si>
  <si>
    <t>In INR Cr</t>
  </si>
  <si>
    <t>Exit Multiple (5 xRevenue Multiple)</t>
  </si>
  <si>
    <t>Revenue in 5th Year</t>
  </si>
  <si>
    <t>Value of Company in 5th Year</t>
  </si>
  <si>
    <t>Expected ROI for Investor (Number of Times)</t>
  </si>
  <si>
    <t>Present Valuation of Company</t>
  </si>
  <si>
    <t>Future Equity Dilution %</t>
  </si>
  <si>
    <t>Present Valuation of Company (after future dilution)</t>
  </si>
  <si>
    <t>In INR Lakhs</t>
  </si>
  <si>
    <t>Comparable Company Valuation</t>
  </si>
  <si>
    <t>Company Name</t>
  </si>
  <si>
    <t>EV/Revenue</t>
  </si>
  <si>
    <t>Sources</t>
  </si>
  <si>
    <t>Median</t>
  </si>
  <si>
    <t>Enterprise Value (in Crs)</t>
  </si>
  <si>
    <t>Slurrp Farm</t>
  </si>
  <si>
    <t>https://canvasbusinessmodel.com/blogs/competitors/slurrp-farm-competitive-landscape</t>
  </si>
  <si>
    <t>Millet Amma</t>
  </si>
  <si>
    <t>https://www.sharktankindiaclub.com/millet-amma-owner-networth-after-shark-tank-updates/</t>
  </si>
  <si>
    <t>Enterprise Value in Lakhs</t>
  </si>
  <si>
    <t>Valuation Method</t>
  </si>
  <si>
    <t>DCF Perpetual Method</t>
  </si>
  <si>
    <t>Comparables - Revenue Multiple Method</t>
  </si>
  <si>
    <t>VC Method</t>
  </si>
  <si>
    <t>Amt in INR Lakhs (Pre Funding)</t>
  </si>
  <si>
    <t xml:space="preserve">Summary of Revenue </t>
  </si>
  <si>
    <t>Revenue Generation Breakup ( Lakhs)</t>
  </si>
  <si>
    <t>Revenue, Expenses and Profit _Generation Breakup ( Lakhs)</t>
  </si>
  <si>
    <t>SL.No</t>
  </si>
  <si>
    <t>Year</t>
  </si>
  <si>
    <t>Millet Cafeterias</t>
  </si>
  <si>
    <t xml:space="preserve">Retail Market Sales </t>
  </si>
  <si>
    <t xml:space="preserve">Exports </t>
  </si>
  <si>
    <t xml:space="preserve">Total Revenue </t>
  </si>
  <si>
    <t>Corporate Snacks- Revenue</t>
  </si>
  <si>
    <t xml:space="preserve">Expenses </t>
  </si>
  <si>
    <t>Gross Profit%</t>
  </si>
  <si>
    <t>Millet Cafeterias-Revenue</t>
  </si>
  <si>
    <t>Retail Market -Revenue</t>
  </si>
  <si>
    <t xml:space="preserve"> Exports -Revenue</t>
  </si>
  <si>
    <t>Total Gross Profit</t>
  </si>
  <si>
    <t>Operational Cost Breakup</t>
  </si>
  <si>
    <t>Average  Clients  Acquizition per month 4 Clients  ( with growth of 25% year on year)</t>
  </si>
  <si>
    <t>Client Retention Ration 60%</t>
  </si>
  <si>
    <t>Average Product sales price to Client (INR) with increase of price 5% year on year</t>
  </si>
  <si>
    <t xml:space="preserve">Average Product Sales per Client 75000 per Month </t>
  </si>
  <si>
    <t>Average Product Sales per Client Annum</t>
  </si>
  <si>
    <t>Revenue in Lakhs</t>
  </si>
  <si>
    <t>Operation Head</t>
  </si>
  <si>
    <t>Expenses ratio on total revenue generation</t>
  </si>
  <si>
    <t xml:space="preserve">Remarks </t>
  </si>
  <si>
    <t xml:space="preserve">RM &amp;Packing cost with Packing </t>
  </si>
  <si>
    <t>Fixed, incraeses 5% year on year</t>
  </si>
  <si>
    <t xml:space="preserve">Employee salaries </t>
  </si>
  <si>
    <t xml:space="preserve">Every Employee handles 5 clients </t>
  </si>
  <si>
    <t>Promotional expenses</t>
  </si>
  <si>
    <t>Fixed, increase 5% year on year</t>
  </si>
  <si>
    <t>Other expenses</t>
  </si>
  <si>
    <t>Total Expenses on product price</t>
  </si>
  <si>
    <t>Reveune genertaion from Millet Cafeteria</t>
  </si>
  <si>
    <t>Breakup (in Lakhs/Annum)</t>
  </si>
  <si>
    <t xml:space="preserve">Breakup for Revenue Generation fo 125 Lakhs </t>
  </si>
  <si>
    <t>Revenue generation per cafeteria</t>
  </si>
  <si>
    <t>10% growth in revenue genertaion year on year for first 5 years and later 5 % growth  year on year</t>
  </si>
  <si>
    <t>Cost of Items</t>
  </si>
  <si>
    <t>No of Plates Sales/day</t>
  </si>
  <si>
    <t>No. of Hours Operations</t>
  </si>
  <si>
    <t>Per hour Plates sales  target</t>
  </si>
  <si>
    <t>Revenue Generation/day</t>
  </si>
  <si>
    <t>No.of working days in Month 25 days</t>
  </si>
  <si>
    <t>Revenue generation/Annum</t>
  </si>
  <si>
    <t>Revenue generation with consideration of 65% achievement of target</t>
  </si>
  <si>
    <t>Revenue in lakhs</t>
  </si>
  <si>
    <t>Expenses Heads</t>
  </si>
  <si>
    <t xml:space="preserve">Average Breakfast Cost for Morning </t>
  </si>
  <si>
    <t>RM Cost</t>
  </si>
  <si>
    <t>8% increase of RM cost year on Year</t>
  </si>
  <si>
    <t>Average Meals/Thali Cost for Afternoon</t>
  </si>
  <si>
    <t>Cook and Staff Salaries</t>
  </si>
  <si>
    <t>10% increase of RM cost year on Year</t>
  </si>
  <si>
    <t xml:space="preserve">Average snacks cost for Evening </t>
  </si>
  <si>
    <t>Cafeteria Rent</t>
  </si>
  <si>
    <t>7% increase of RM cost year on Year</t>
  </si>
  <si>
    <t>Miscelanous Expenses</t>
  </si>
  <si>
    <t>5% increase of RM cost year on Year</t>
  </si>
  <si>
    <t xml:space="preserve">Promotional Expenses </t>
  </si>
  <si>
    <t xml:space="preserve">Total Expenses </t>
  </si>
  <si>
    <t xml:space="preserve">Gross Profit </t>
  </si>
  <si>
    <t>Gross Profit %</t>
  </si>
  <si>
    <t>No. of Cafeterias Planning to Launch</t>
  </si>
  <si>
    <t>Total No. of Cafterias year on Year</t>
  </si>
  <si>
    <t xml:space="preserve">Revenue Generation in Lakhs </t>
  </si>
  <si>
    <t xml:space="preserve">Fixed Assets cost </t>
  </si>
  <si>
    <t xml:space="preserve">Year </t>
  </si>
  <si>
    <t>Revenue from each cafeteria with 15% increase year on year ( Lakhs)</t>
  </si>
  <si>
    <t>`</t>
  </si>
  <si>
    <t>Retail Market</t>
  </si>
  <si>
    <t xml:space="preserve">Sales Projection Per Month </t>
  </si>
  <si>
    <t>Sales Projection Per Annum</t>
  </si>
  <si>
    <t xml:space="preserve">25% growth year on year </t>
  </si>
  <si>
    <t xml:space="preserve">15% growth year on year </t>
  </si>
  <si>
    <t>TOTAL</t>
  </si>
  <si>
    <t xml:space="preserve">Export </t>
  </si>
  <si>
    <t>Revenue Generation from Contarct Mfg &amp; Exports</t>
  </si>
  <si>
    <t>Revenue generation from Export in INR</t>
  </si>
  <si>
    <t xml:space="preserve">Average Product Price per Kg for Exports </t>
  </si>
  <si>
    <t>No .Tons export/Annum to reach target</t>
  </si>
  <si>
    <t>Per Month Export in Ton</t>
  </si>
  <si>
    <t xml:space="preserve">Corporate Sales </t>
  </si>
  <si>
    <t xml:space="preserve">Millet Cafeteria </t>
  </si>
  <si>
    <t xml:space="preserve">Export Sales </t>
  </si>
  <si>
    <t>Trade Receivables Days</t>
  </si>
  <si>
    <t>Debt Schedule</t>
  </si>
  <si>
    <t>Timeline (Months)</t>
  </si>
  <si>
    <t>Loans/Debts as on Date</t>
  </si>
  <si>
    <t>Loan Rate</t>
  </si>
  <si>
    <t>Term(Months)</t>
  </si>
  <si>
    <t>Loan Taken in Month</t>
  </si>
  <si>
    <t xml:space="preserve"> Loan 1</t>
  </si>
  <si>
    <t xml:space="preserve">Loan Payments </t>
  </si>
  <si>
    <t>Principal Paid</t>
  </si>
  <si>
    <t>Interest Paid</t>
  </si>
  <si>
    <t>Total Loan Payment</t>
  </si>
  <si>
    <t>Current Liability</t>
  </si>
  <si>
    <t>Long-Term Liability</t>
  </si>
  <si>
    <t xml:space="preserve"> Loan 2</t>
  </si>
  <si>
    <t>Loan Summary</t>
  </si>
  <si>
    <t xml:space="preserve"> Loan 3</t>
  </si>
  <si>
    <t>Timeline (Years)</t>
  </si>
  <si>
    <t>Year-6</t>
  </si>
  <si>
    <t>Year-7</t>
  </si>
  <si>
    <t>Year-8</t>
  </si>
  <si>
    <t>Year-9</t>
  </si>
  <si>
    <t>Year-10</t>
  </si>
  <si>
    <t>Opening Balance - Current Assets in Lakhs</t>
  </si>
  <si>
    <t>Liabilities in Lakhs</t>
  </si>
  <si>
    <t>Existing Loan on 31st March 2025</t>
  </si>
  <si>
    <t>New Borrowing</t>
  </si>
  <si>
    <t>Opening Loan</t>
  </si>
  <si>
    <t>Direct Costs</t>
  </si>
  <si>
    <t>Direct Cost % ( % of Corporate Sales )</t>
  </si>
  <si>
    <t>Direct Cost % ( % of Millet Cafeteria )</t>
  </si>
  <si>
    <t>Direct Cost % ( % of Retail Market Sales)</t>
  </si>
  <si>
    <t>Direct Cost % ( % of Export Sales )</t>
  </si>
  <si>
    <t>Direct Cost  (Corporate Sales )</t>
  </si>
  <si>
    <t>Direct Cost  ( Millet Cafeteria )</t>
  </si>
  <si>
    <t>Direct Cost  ( Retail Market Sales)</t>
  </si>
  <si>
    <t>Direct Cost  (  Export Sales )</t>
  </si>
  <si>
    <r>
      <t xml:space="preserve">Assessment of All Costs </t>
    </r>
    <r>
      <rPr>
        <b/>
        <sz val="10"/>
        <color rgb="FF201658"/>
        <rFont val="Ubuntu"/>
        <family val="2"/>
      </rPr>
      <t>(in Lakhs)</t>
    </r>
  </si>
  <si>
    <t>Employee Costs</t>
  </si>
  <si>
    <t>Employee Cost % ( % of Corporate Sales )</t>
  </si>
  <si>
    <t>Employee Cost % ( % of Millet Cafeteria )</t>
  </si>
  <si>
    <t>Employee Cost  ( Corporate Sales )</t>
  </si>
  <si>
    <t>Employee Cost  ( Millet Cafeteria )</t>
  </si>
  <si>
    <t>Promotional Costs</t>
  </si>
  <si>
    <t>Promotional Costs % ( % of Corporate Sales )</t>
  </si>
  <si>
    <t>Promotional Costs % ( % of Millet Cafeteria )</t>
  </si>
  <si>
    <t>Promotional Costs  ( Corporate Sales )</t>
  </si>
  <si>
    <t>Promotional Costs  ( Millet Cafeteria )</t>
  </si>
  <si>
    <t>Other Expenses</t>
  </si>
  <si>
    <t>Other Expenses % ( % of Corporate Sales )</t>
  </si>
  <si>
    <t>Other Expenses  ( Corporate Sales )</t>
  </si>
  <si>
    <t>Millet Cafeteria - Expenses</t>
  </si>
  <si>
    <t>Rent % ( % of Millet Cafeteria)</t>
  </si>
  <si>
    <t>Misc Expenses % ( % of Millet Cafeteria )</t>
  </si>
  <si>
    <t>Rent  ( Millet Cafeteria)</t>
  </si>
  <si>
    <t>Misc Expenses  (Millet Cafeteria )</t>
  </si>
  <si>
    <t>Promotional Expenses</t>
  </si>
  <si>
    <t>Rent</t>
  </si>
  <si>
    <t>Misc Expenses</t>
  </si>
  <si>
    <t>30-31</t>
  </si>
  <si>
    <t>31-32</t>
  </si>
  <si>
    <t>32-33</t>
  </si>
  <si>
    <t>33-34</t>
  </si>
  <si>
    <t>34-35</t>
  </si>
  <si>
    <t>Assessment of Trade Payables</t>
  </si>
  <si>
    <t>Total Direct Cost</t>
  </si>
  <si>
    <t>Assessment of Inventory</t>
  </si>
  <si>
    <t>Trade Payables Days</t>
  </si>
  <si>
    <t>Inventory Days</t>
  </si>
  <si>
    <t>Working Capital</t>
  </si>
  <si>
    <t>Increase in Working Capital</t>
  </si>
  <si>
    <t>Movement in Working Capital</t>
  </si>
  <si>
    <t>Direct Cost (Retail + Exports)</t>
  </si>
  <si>
    <t>Current portion of Loang term Debt</t>
  </si>
  <si>
    <t>Increase in Trade Receivables</t>
  </si>
  <si>
    <t>Increase in Trade Pyables</t>
  </si>
  <si>
    <t>Increase in Inventory</t>
  </si>
  <si>
    <t>Tax Provision</t>
  </si>
  <si>
    <t>Annualized Revenue</t>
  </si>
  <si>
    <t>Current Monthly Revenue (Lacs)</t>
  </si>
  <si>
    <t xml:space="preserve">Average Enterprise Valuation </t>
  </si>
  <si>
    <t>plus Cash in Hand</t>
  </si>
  <si>
    <t>minus Existing Debt</t>
  </si>
  <si>
    <t>Equity Valuation (Post Money)</t>
  </si>
  <si>
    <t>Equity Valuation (Pre-Money)</t>
  </si>
  <si>
    <t>Equity Dilution</t>
  </si>
  <si>
    <t>Fund Raised (total)</t>
  </si>
  <si>
    <t>Fund Raised (1st Round)</t>
  </si>
  <si>
    <t>EBITDA %</t>
  </si>
  <si>
    <t>EBIT %</t>
  </si>
  <si>
    <t>PAT %</t>
  </si>
  <si>
    <t>PBT %</t>
  </si>
  <si>
    <t>i) Equity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</si>
</sst>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0\ &quot;Days&quot;"/>
    <numFmt numFmtId="167" formatCode="&quot;M&quot;0"/>
    <numFmt numFmtId="168" formatCode="_(* #,##0_);_(* \(#,##0\);_(* &quot;-&quot;??_);_(@_)"/>
    <numFmt numFmtId="169" formatCode="_(* #,##0.000_);_(* \(#,##0.000\);_(* &quot;-&quot;??_);_(@_)"/>
    <numFmt numFmtId="170" formatCode="_(* #,##0.0_);_(* \(#,##0.0\);_(* &quot;-&quot;??_);_(@_)"/>
    <numFmt numFmtId="171" formatCode=";;"/>
    <numFmt numFmtId="172" formatCode="_ * #,##0_ ;_ * \-#,##0_ ;_ * &quot;-&quot;??_ ;_ @_ "/>
    <numFmt numFmtId="173" formatCode="_ * #,##0.0_ ;_ * \-#,##0.0_ ;_ * &quot;-&quot;??_ ;_ @_ "/>
    <numFmt numFmtId="174" formatCode="0.00&quot;x&quot;"/>
    <numFmt numFmtId="175" formatCode="0.0"/>
    <numFmt numFmtId="176" formatCode="0.0%"/>
    <numFmt numFmtId="177" formatCode="_(* #,##0.00_);_(* \(#,##0.00\);_(* &quot;-&quot;_);_(@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65486"/>
      <name val="Ubuntu"/>
      <family val="2"/>
    </font>
    <font>
      <sz val="11"/>
      <color theme="1"/>
      <name val="Ubuntu"/>
      <family val="2"/>
    </font>
    <font>
      <b/>
      <sz val="16"/>
      <color rgb="FF201658"/>
      <name val="Ubuntu"/>
      <family val="2"/>
    </font>
    <font>
      <sz val="11"/>
      <color rgb="FF265073"/>
      <name val="Ubuntu"/>
      <family val="2"/>
    </font>
    <font>
      <b/>
      <sz val="11"/>
      <color theme="0"/>
      <name val="Ubuntu"/>
      <family val="2"/>
    </font>
    <font>
      <sz val="11"/>
      <color rgb="FF201658"/>
      <name val="Ubuntu"/>
      <family val="2"/>
    </font>
    <font>
      <b/>
      <sz val="11"/>
      <color rgb="FF201658"/>
      <name val="Ubuntu"/>
      <family val="2"/>
    </font>
    <font>
      <b/>
      <sz val="11"/>
      <color theme="1"/>
      <name val="Ubuntu"/>
      <family val="2"/>
    </font>
    <font>
      <sz val="11"/>
      <color rgb="FFFF0000"/>
      <name val="Ubuntu"/>
      <family val="2"/>
    </font>
    <font>
      <b/>
      <sz val="14"/>
      <color theme="1"/>
      <name val="Ubuntu"/>
      <family val="2"/>
    </font>
    <font>
      <sz val="11"/>
      <color rgb="FF2A90A8"/>
      <name val="Ubuntu"/>
      <family val="2"/>
    </font>
    <font>
      <b/>
      <sz val="12"/>
      <color theme="0"/>
      <name val="Ubuntu"/>
      <family val="2"/>
    </font>
    <font>
      <sz val="9"/>
      <color rgb="FF201658"/>
      <name val="Ubuntu"/>
      <family val="2"/>
    </font>
    <font>
      <b/>
      <sz val="16"/>
      <color rgb="FF0F1035"/>
      <name val="Ubuntu"/>
      <family val="2"/>
    </font>
    <font>
      <b/>
      <sz val="11"/>
      <color rgb="FF265073"/>
      <name val="Ubuntu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Verdana"/>
      <family val="2"/>
    </font>
    <font>
      <sz val="12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8"/>
      <color indexed="8"/>
      <name val="Verdana"/>
      <family val="2"/>
    </font>
    <font>
      <b/>
      <sz val="9"/>
      <name val="Gill Sans MT"/>
      <family val="2"/>
    </font>
    <font>
      <sz val="8"/>
      <name val="Verdana"/>
      <family val="2"/>
    </font>
    <font>
      <sz val="11"/>
      <name val="Arial"/>
      <family val="2"/>
    </font>
    <font>
      <b/>
      <sz val="11"/>
      <color theme="0"/>
      <name val="Verdan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</font>
    <font>
      <b/>
      <sz val="10"/>
      <color theme="1"/>
      <name val="Arial"/>
      <family val="2"/>
    </font>
    <font>
      <b/>
      <sz val="11"/>
      <color theme="7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 tint="-0.14999847407452621"/>
      <name val="Calibri"/>
      <family val="2"/>
    </font>
    <font>
      <b/>
      <sz val="20"/>
      <color theme="1"/>
      <name val="Calibri"/>
      <family val="2"/>
    </font>
    <font>
      <b/>
      <sz val="11"/>
      <color theme="0" tint="-0.14999847407452621"/>
      <name val="Calibri"/>
      <family val="2"/>
    </font>
    <font>
      <sz val="11"/>
      <color theme="1" tint="4.9989318521683403E-2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1"/>
      <color theme="1" tint="4.9989318521683403E-2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0"/>
      <color rgb="FF201658"/>
      <name val="Ubuntu"/>
      <family val="2"/>
    </font>
    <font>
      <b/>
      <sz val="11"/>
      <color rgb="FFFF0000"/>
      <name val="Ubuntu"/>
      <family val="2"/>
    </font>
  </fonts>
  <fills count="43">
    <fill>
      <patternFill patternType="none"/>
    </fill>
    <fill>
      <patternFill patternType="gray125"/>
    </fill>
    <fill>
      <patternFill patternType="solid">
        <fgColor rgb="FF265073"/>
        <bgColor indexed="64"/>
      </patternFill>
    </fill>
    <fill>
      <patternFill patternType="solid">
        <fgColor rgb="FFDCF2F1"/>
        <bgColor indexed="64"/>
      </patternFill>
    </fill>
    <fill>
      <gradientFill>
        <stop position="0">
          <color rgb="FF2A90A8"/>
        </stop>
        <stop position="1">
          <color rgb="FF6AC6D0"/>
        </stop>
      </gradientFill>
    </fill>
    <fill>
      <patternFill patternType="solid">
        <fgColor rgb="FF365486"/>
        <bgColor indexed="64"/>
      </patternFill>
    </fill>
    <fill>
      <patternFill patternType="solid">
        <fgColor rgb="FF2A90A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95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ACC9E"/>
        <bgColor indexed="64"/>
      </patternFill>
    </fill>
    <fill>
      <patternFill patternType="solid">
        <fgColor indexed="21"/>
      </patternFill>
    </fill>
    <fill>
      <patternFill patternType="solid">
        <fgColor indexed="9"/>
        <bgColor indexed="9"/>
      </patternFill>
    </fill>
    <fill>
      <patternFill patternType="solid">
        <fgColor rgb="FF44546A"/>
        <bgColor rgb="FF44546A"/>
      </patternFill>
    </fill>
    <fill>
      <patternFill patternType="solid">
        <fgColor theme="0"/>
        <bgColor rgb="FF44546A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rgb="FF2A90A8"/>
      </left>
      <right/>
      <top style="medium">
        <color rgb="FF2A90A8"/>
      </top>
      <bottom style="medium">
        <color rgb="FF2A90A8"/>
      </bottom>
      <diagonal/>
    </border>
    <border>
      <left/>
      <right/>
      <top style="medium">
        <color rgb="FF2A90A8"/>
      </top>
      <bottom style="medium">
        <color rgb="FF2A90A8"/>
      </bottom>
      <diagonal/>
    </border>
    <border>
      <left/>
      <right style="medium">
        <color rgb="FF2A90A8"/>
      </right>
      <top style="medium">
        <color rgb="FF2A90A8"/>
      </top>
      <bottom style="medium">
        <color rgb="FF2A90A8"/>
      </bottom>
      <diagonal/>
    </border>
    <border>
      <left style="medium">
        <color rgb="FF2A90A8"/>
      </left>
      <right/>
      <top style="medium">
        <color rgb="FF2A90A8"/>
      </top>
      <bottom/>
      <diagonal/>
    </border>
    <border>
      <left/>
      <right/>
      <top style="medium">
        <color rgb="FF2A90A8"/>
      </top>
      <bottom/>
      <diagonal/>
    </border>
    <border>
      <left/>
      <right style="medium">
        <color rgb="FF2A90A8"/>
      </right>
      <top style="medium">
        <color rgb="FF2A90A8"/>
      </top>
      <bottom/>
      <diagonal/>
    </border>
    <border>
      <left style="medium">
        <color rgb="FF2A90A8"/>
      </left>
      <right/>
      <top/>
      <bottom style="medium">
        <color rgb="FF2A90A8"/>
      </bottom>
      <diagonal/>
    </border>
    <border>
      <left/>
      <right/>
      <top/>
      <bottom style="medium">
        <color rgb="FF2A90A8"/>
      </bottom>
      <diagonal/>
    </border>
    <border>
      <left/>
      <right style="medium">
        <color rgb="FF2A90A8"/>
      </right>
      <top/>
      <bottom style="medium">
        <color rgb="FF2A90A8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tted">
        <color rgb="FFA6A6A6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rgb="FFA6A6A6"/>
      </left>
      <right/>
      <top style="dotted">
        <color rgb="FFA6A6A6"/>
      </top>
      <bottom style="dotted">
        <color rgb="FFA6A6A6"/>
      </bottom>
      <diagonal/>
    </border>
    <border>
      <left/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9" fontId="28" fillId="18" borderId="12" applyProtection="0">
      <alignment wrapText="1"/>
    </xf>
    <xf numFmtId="0" fontId="30" fillId="19" borderId="0"/>
    <xf numFmtId="0" fontId="32" fillId="0" borderId="0"/>
    <xf numFmtId="0" fontId="21" fillId="0" borderId="0"/>
    <xf numFmtId="0" fontId="5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6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center"/>
    </xf>
    <xf numFmtId="4" fontId="3" fillId="0" borderId="0" xfId="0" applyNumberFormat="1" applyFont="1" applyAlignment="1">
      <alignment horizontal="centerContinuous" vertical="center"/>
    </xf>
    <xf numFmtId="4" fontId="5" fillId="0" borderId="0" xfId="0" applyNumberFormat="1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4" fontId="6" fillId="2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/>
    <xf numFmtId="0" fontId="7" fillId="3" borderId="0" xfId="0" applyFont="1" applyFill="1" applyAlignment="1">
      <alignment vertical="center"/>
    </xf>
    <xf numFmtId="3" fontId="5" fillId="3" borderId="0" xfId="0" applyNumberFormat="1" applyFont="1" applyFill="1" applyAlignment="1">
      <alignment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/>
    <xf numFmtId="0" fontId="8" fillId="3" borderId="0" xfId="0" applyFont="1" applyFill="1" applyAlignment="1">
      <alignment horizontal="center" vertical="center"/>
    </xf>
    <xf numFmtId="0" fontId="9" fillId="0" borderId="0" xfId="0" applyFont="1"/>
    <xf numFmtId="3" fontId="8" fillId="3" borderId="0" xfId="1" applyNumberFormat="1" applyFont="1" applyFill="1" applyAlignment="1">
      <alignment horizontal="right" vertical="center"/>
    </xf>
    <xf numFmtId="4" fontId="3" fillId="0" borderId="0" xfId="0" applyNumberFormat="1" applyFont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4" fontId="10" fillId="3" borderId="2" xfId="0" applyNumberFormat="1" applyFont="1" applyFill="1" applyBorder="1"/>
    <xf numFmtId="4" fontId="10" fillId="3" borderId="3" xfId="0" applyNumberFormat="1" applyFont="1" applyFill="1" applyBorder="1"/>
    <xf numFmtId="0" fontId="11" fillId="0" borderId="0" xfId="0" applyFont="1" applyAlignment="1">
      <alignment horizontal="centerContinuous" vertical="center"/>
    </xf>
    <xf numFmtId="43" fontId="3" fillId="0" borderId="0" xfId="1" applyFont="1" applyBorder="1" applyAlignment="1">
      <alignment vertical="center"/>
    </xf>
    <xf numFmtId="4" fontId="12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4" fontId="8" fillId="3" borderId="0" xfId="0" applyNumberFormat="1" applyFont="1" applyFill="1"/>
    <xf numFmtId="4" fontId="3" fillId="0" borderId="0" xfId="1" applyNumberFormat="1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4" fontId="5" fillId="3" borderId="0" xfId="0" applyNumberFormat="1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4" fontId="6" fillId="2" borderId="0" xfId="0" applyNumberFormat="1" applyFont="1" applyFill="1" applyAlignment="1">
      <alignment horizontal="left" vertical="center"/>
    </xf>
    <xf numFmtId="166" fontId="3" fillId="3" borderId="0" xfId="0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4" fontId="3" fillId="3" borderId="0" xfId="0" applyNumberFormat="1" applyFont="1" applyFill="1" applyAlignment="1">
      <alignment vertic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" fontId="8" fillId="3" borderId="0" xfId="0" applyNumberFormat="1" applyFont="1" applyFill="1" applyAlignment="1">
      <alignment vertical="center"/>
    </xf>
    <xf numFmtId="4" fontId="8" fillId="0" borderId="0" xfId="0" applyNumberFormat="1" applyFont="1" applyAlignment="1">
      <alignment vertical="center"/>
    </xf>
    <xf numFmtId="4" fontId="5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4" fontId="9" fillId="0" borderId="0" xfId="0" applyNumberFormat="1" applyFont="1" applyAlignment="1">
      <alignment vertical="center"/>
    </xf>
    <xf numFmtId="43" fontId="0" fillId="0" borderId="0" xfId="1" applyFont="1"/>
    <xf numFmtId="4" fontId="9" fillId="0" borderId="0" xfId="0" applyNumberFormat="1" applyFont="1" applyAlignment="1">
      <alignment horizontal="center" vertical="center"/>
    </xf>
    <xf numFmtId="43" fontId="2" fillId="0" borderId="0" xfId="1" applyFont="1"/>
    <xf numFmtId="9" fontId="3" fillId="3" borderId="0" xfId="0" applyNumberFormat="1" applyFont="1" applyFill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3" fillId="0" borderId="5" xfId="0" applyFont="1" applyBorder="1"/>
    <xf numFmtId="4" fontId="5" fillId="3" borderId="5" xfId="0" applyNumberFormat="1" applyFont="1" applyFill="1" applyBorder="1" applyAlignment="1">
      <alignment vertical="center"/>
    </xf>
    <xf numFmtId="4" fontId="5" fillId="3" borderId="6" xfId="0" applyNumberFormat="1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0" fillId="0" borderId="8" xfId="0" applyFont="1" applyBorder="1"/>
    <xf numFmtId="4" fontId="10" fillId="3" borderId="8" xfId="0" applyNumberFormat="1" applyFont="1" applyFill="1" applyBorder="1" applyAlignment="1">
      <alignment vertical="center"/>
    </xf>
    <xf numFmtId="4" fontId="10" fillId="3" borderId="9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left" vertical="center" indent="2"/>
    </xf>
    <xf numFmtId="0" fontId="7" fillId="0" borderId="0" xfId="0" applyFont="1" applyAlignment="1">
      <alignment horizontal="left" vertical="center" indent="2"/>
    </xf>
    <xf numFmtId="43" fontId="3" fillId="0" borderId="0" xfId="1" applyFont="1" applyAlignment="1">
      <alignment vertical="center"/>
    </xf>
    <xf numFmtId="0" fontId="15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4" fontId="6" fillId="0" borderId="0" xfId="0" applyNumberFormat="1" applyFont="1" applyAlignment="1">
      <alignment horizontal="right" vertical="center"/>
    </xf>
    <xf numFmtId="0" fontId="8" fillId="3" borderId="0" xfId="0" applyFont="1" applyFill="1" applyAlignment="1">
      <alignment vertical="center" wrapText="1"/>
    </xf>
    <xf numFmtId="0" fontId="7" fillId="3" borderId="0" xfId="0" applyFont="1" applyFill="1"/>
    <xf numFmtId="43" fontId="5" fillId="3" borderId="0" xfId="1" applyFont="1" applyFill="1"/>
    <xf numFmtId="43" fontId="5" fillId="0" borderId="0" xfId="1" applyFont="1"/>
    <xf numFmtId="43" fontId="5" fillId="0" borderId="0" xfId="1" applyFont="1" applyFill="1"/>
    <xf numFmtId="10" fontId="8" fillId="3" borderId="0" xfId="2" applyNumberFormat="1" applyFont="1" applyFill="1" applyBorder="1" applyAlignment="1">
      <alignment horizontal="center" vertical="center"/>
    </xf>
    <xf numFmtId="43" fontId="3" fillId="0" borderId="0" xfId="1" applyFont="1"/>
    <xf numFmtId="4" fontId="2" fillId="0" borderId="0" xfId="0" applyNumberFormat="1" applyFont="1"/>
    <xf numFmtId="43" fontId="7" fillId="0" borderId="0" xfId="1" applyFont="1"/>
    <xf numFmtId="43" fontId="2" fillId="0" borderId="0" xfId="1" applyFont="1" applyFill="1"/>
    <xf numFmtId="10" fontId="8" fillId="0" borderId="0" xfId="2" applyNumberFormat="1" applyFont="1" applyFill="1" applyBorder="1" applyAlignment="1">
      <alignment horizontal="center" vertical="center"/>
    </xf>
    <xf numFmtId="43" fontId="3" fillId="0" borderId="0" xfId="1" applyFont="1" applyFill="1"/>
    <xf numFmtId="0" fontId="8" fillId="3" borderId="0" xfId="0" applyFont="1" applyFill="1"/>
    <xf numFmtId="43" fontId="16" fillId="3" borderId="0" xfId="1" applyFont="1" applyFill="1"/>
    <xf numFmtId="43" fontId="16" fillId="0" borderId="0" xfId="1" applyFont="1"/>
    <xf numFmtId="43" fontId="9" fillId="0" borderId="0" xfId="1" applyFont="1"/>
    <xf numFmtId="43" fontId="16" fillId="0" borderId="0" xfId="1" applyFont="1" applyFill="1"/>
    <xf numFmtId="0" fontId="8" fillId="0" borderId="0" xfId="0" applyFont="1"/>
    <xf numFmtId="165" fontId="3" fillId="0" borderId="0" xfId="0" applyNumberFormat="1" applyFont="1"/>
    <xf numFmtId="0" fontId="11" fillId="0" borderId="0" xfId="0" applyFont="1" applyAlignment="1">
      <alignment horizontal="center" vertical="center"/>
    </xf>
    <xf numFmtId="4" fontId="16" fillId="3" borderId="0" xfId="0" applyNumberFormat="1" applyFont="1" applyFill="1" applyAlignment="1">
      <alignment vertical="center"/>
    </xf>
    <xf numFmtId="4" fontId="16" fillId="0" borderId="0" xfId="0" applyNumberFormat="1" applyFont="1" applyAlignment="1">
      <alignment vertical="center"/>
    </xf>
    <xf numFmtId="10" fontId="5" fillId="3" borderId="0" xfId="0" applyNumberFormat="1" applyFont="1" applyFill="1" applyAlignment="1">
      <alignment vertical="center"/>
    </xf>
    <xf numFmtId="10" fontId="3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10" fontId="16" fillId="3" borderId="0" xfId="0" applyNumberFormat="1" applyFont="1" applyFill="1" applyAlignment="1">
      <alignment vertical="center"/>
    </xf>
    <xf numFmtId="9" fontId="3" fillId="0" borderId="0" xfId="2" applyFont="1"/>
    <xf numFmtId="0" fontId="18" fillId="8" borderId="0" xfId="0" applyFont="1" applyFill="1" applyAlignment="1">
      <alignment vertical="center"/>
    </xf>
    <xf numFmtId="167" fontId="20" fillId="9" borderId="11" xfId="0" applyNumberFormat="1" applyFont="1" applyFill="1" applyBorder="1" applyAlignment="1">
      <alignment horizontal="left" vertical="center"/>
    </xf>
    <xf numFmtId="167" fontId="20" fillId="9" borderId="11" xfId="0" applyNumberFormat="1" applyFont="1" applyFill="1" applyBorder="1" applyAlignment="1">
      <alignment horizontal="right" vertical="center"/>
    </xf>
    <xf numFmtId="167" fontId="20" fillId="9" borderId="12" xfId="0" applyNumberFormat="1" applyFont="1" applyFill="1" applyBorder="1" applyAlignment="1">
      <alignment horizontal="right" vertical="center"/>
    </xf>
    <xf numFmtId="0" fontId="19" fillId="0" borderId="10" xfId="0" applyFont="1" applyBorder="1" applyAlignment="1">
      <alignment horizontal="left" vertic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right"/>
    </xf>
    <xf numFmtId="0" fontId="0" fillId="0" borderId="0" xfId="0" applyAlignment="1">
      <alignment vertical="center"/>
    </xf>
    <xf numFmtId="9" fontId="0" fillId="12" borderId="0" xfId="0" applyNumberFormat="1" applyFill="1" applyAlignment="1">
      <alignment vertical="center"/>
    </xf>
    <xf numFmtId="0" fontId="0" fillId="10" borderId="0" xfId="0" applyFill="1" applyAlignment="1">
      <alignment horizontal="left" vertical="center"/>
    </xf>
    <xf numFmtId="168" fontId="0" fillId="11" borderId="0" xfId="3" applyNumberFormat="1" applyFont="1" applyFill="1" applyAlignment="1">
      <alignment horizontal="right" vertical="center"/>
    </xf>
    <xf numFmtId="168" fontId="0" fillId="0" borderId="0" xfId="3" applyNumberFormat="1" applyFont="1"/>
    <xf numFmtId="0" fontId="0" fillId="0" borderId="13" xfId="0" applyBorder="1" applyAlignment="1">
      <alignment vertical="center"/>
    </xf>
    <xf numFmtId="9" fontId="0" fillId="12" borderId="13" xfId="0" applyNumberFormat="1" applyFill="1" applyBorder="1" applyAlignment="1">
      <alignment vertical="center"/>
    </xf>
    <xf numFmtId="0" fontId="19" fillId="0" borderId="0" xfId="0" applyFont="1" applyAlignment="1">
      <alignment vertical="center"/>
    </xf>
    <xf numFmtId="9" fontId="19" fillId="0" borderId="0" xfId="2" applyFont="1" applyAlignment="1">
      <alignment vertical="center"/>
    </xf>
    <xf numFmtId="0" fontId="0" fillId="10" borderId="14" xfId="0" applyFill="1" applyBorder="1" applyAlignment="1">
      <alignment horizontal="left" vertical="center"/>
    </xf>
    <xf numFmtId="168" fontId="0" fillId="11" borderId="14" xfId="3" applyNumberFormat="1" applyFont="1" applyFill="1" applyBorder="1" applyAlignment="1">
      <alignment horizontal="right" vertical="center"/>
    </xf>
    <xf numFmtId="10" fontId="0" fillId="12" borderId="0" xfId="0" applyNumberFormat="1" applyFill="1" applyAlignment="1">
      <alignment vertical="center"/>
    </xf>
    <xf numFmtId="0" fontId="19" fillId="10" borderId="15" xfId="0" applyFont="1" applyFill="1" applyBorder="1" applyAlignment="1">
      <alignment horizontal="left" vertical="center"/>
    </xf>
    <xf numFmtId="168" fontId="19" fillId="11" borderId="15" xfId="3" applyNumberFormat="1" applyFont="1" applyFill="1" applyBorder="1" applyAlignment="1">
      <alignment horizontal="right" vertical="center"/>
    </xf>
    <xf numFmtId="0" fontId="19" fillId="10" borderId="0" xfId="0" applyFont="1" applyFill="1" applyAlignment="1">
      <alignment horizontal="left" vertical="center"/>
    </xf>
    <xf numFmtId="168" fontId="19" fillId="11" borderId="0" xfId="3" applyNumberFormat="1" applyFont="1" applyFill="1" applyAlignment="1">
      <alignment horizontal="center" vertical="center"/>
    </xf>
    <xf numFmtId="10" fontId="0" fillId="11" borderId="0" xfId="2" applyNumberFormat="1" applyFont="1" applyFill="1" applyAlignment="1">
      <alignment horizontal="right" vertical="center"/>
    </xf>
    <xf numFmtId="10" fontId="0" fillId="11" borderId="0" xfId="0" applyNumberFormat="1" applyFill="1" applyAlignment="1">
      <alignment horizontal="right" vertical="center"/>
    </xf>
    <xf numFmtId="43" fontId="0" fillId="12" borderId="0" xfId="0" applyNumberFormat="1" applyFill="1" applyAlignment="1">
      <alignment vertical="center"/>
    </xf>
    <xf numFmtId="0" fontId="0" fillId="0" borderId="14" xfId="0" applyBorder="1" applyAlignment="1">
      <alignment vertical="center"/>
    </xf>
    <xf numFmtId="0" fontId="19" fillId="10" borderId="14" xfId="0" applyFont="1" applyFill="1" applyBorder="1" applyAlignment="1">
      <alignment horizontal="left" vertical="center"/>
    </xf>
    <xf numFmtId="169" fontId="0" fillId="11" borderId="14" xfId="3" applyNumberFormat="1" applyFont="1" applyFill="1" applyBorder="1" applyAlignment="1">
      <alignment horizontal="center" vertical="center"/>
    </xf>
    <xf numFmtId="10" fontId="19" fillId="0" borderId="0" xfId="2" applyNumberFormat="1" applyFont="1" applyAlignment="1">
      <alignment vertical="center"/>
    </xf>
    <xf numFmtId="168" fontId="0" fillId="11" borderId="0" xfId="3" applyNumberFormat="1" applyFont="1" applyFill="1" applyAlignment="1">
      <alignment horizontal="center" vertical="center"/>
    </xf>
    <xf numFmtId="168" fontId="19" fillId="11" borderId="0" xfId="3" applyNumberFormat="1" applyFont="1" applyFill="1" applyBorder="1" applyAlignment="1">
      <alignment horizontal="center" vertical="center"/>
    </xf>
    <xf numFmtId="168" fontId="0" fillId="11" borderId="0" xfId="3" applyNumberFormat="1" applyFont="1" applyFill="1" applyBorder="1" applyAlignment="1">
      <alignment horizontal="center" vertical="center"/>
    </xf>
    <xf numFmtId="9" fontId="0" fillId="12" borderId="0" xfId="2" applyFont="1" applyFill="1" applyAlignment="1">
      <alignment vertical="center"/>
    </xf>
    <xf numFmtId="168" fontId="19" fillId="11" borderId="14" xfId="3" applyNumberFormat="1" applyFont="1" applyFill="1" applyBorder="1" applyAlignment="1">
      <alignment horizontal="center" vertical="center"/>
    </xf>
    <xf numFmtId="168" fontId="0" fillId="11" borderId="14" xfId="3" applyNumberFormat="1" applyFont="1" applyFill="1" applyBorder="1" applyAlignment="1">
      <alignment horizontal="center" vertical="center"/>
    </xf>
    <xf numFmtId="168" fontId="19" fillId="13" borderId="0" xfId="3" applyNumberFormat="1" applyFont="1" applyFill="1" applyAlignment="1">
      <alignment horizontal="center" vertical="center"/>
    </xf>
    <xf numFmtId="10" fontId="19" fillId="0" borderId="0" xfId="0" applyNumberFormat="1" applyFont="1" applyAlignment="1">
      <alignment vertical="center"/>
    </xf>
    <xf numFmtId="168" fontId="20" fillId="7" borderId="0" xfId="3" applyNumberFormat="1" applyFont="1" applyFill="1" applyAlignment="1">
      <alignment horizontal="center" vertical="center"/>
    </xf>
    <xf numFmtId="168" fontId="19" fillId="13" borderId="14" xfId="3" applyNumberFormat="1" applyFont="1" applyFill="1" applyBorder="1" applyAlignment="1">
      <alignment horizontal="center" vertical="center"/>
    </xf>
    <xf numFmtId="165" fontId="20" fillId="7" borderId="14" xfId="3" applyFont="1" applyFill="1" applyBorder="1" applyAlignment="1">
      <alignment horizontal="center" vertical="center"/>
    </xf>
    <xf numFmtId="0" fontId="20" fillId="9" borderId="0" xfId="0" applyFont="1" applyFill="1" applyAlignment="1">
      <alignment vertical="center"/>
    </xf>
    <xf numFmtId="10" fontId="20" fillId="9" borderId="0" xfId="2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168" fontId="0" fillId="0" borderId="0" xfId="0" applyNumberFormat="1"/>
    <xf numFmtId="10" fontId="0" fillId="12" borderId="0" xfId="2" applyNumberFormat="1" applyFont="1" applyFill="1" applyBorder="1" applyAlignment="1">
      <alignment vertical="center"/>
    </xf>
    <xf numFmtId="0" fontId="18" fillId="7" borderId="0" xfId="0" applyFont="1" applyFill="1" applyAlignment="1">
      <alignment horizontal="left"/>
    </xf>
    <xf numFmtId="0" fontId="18" fillId="7" borderId="0" xfId="0" applyFont="1" applyFill="1" applyAlignment="1">
      <alignment horizontal="center"/>
    </xf>
    <xf numFmtId="43" fontId="0" fillId="11" borderId="14" xfId="0" applyNumberFormat="1" applyFill="1" applyBorder="1" applyAlignment="1">
      <alignment horizontal="right" vertical="center"/>
    </xf>
    <xf numFmtId="43" fontId="0" fillId="0" borderId="0" xfId="0" applyNumberFormat="1"/>
    <xf numFmtId="43" fontId="0" fillId="11" borderId="0" xfId="0" applyNumberFormat="1" applyFill="1" applyAlignment="1">
      <alignment horizontal="right" vertical="center"/>
    </xf>
    <xf numFmtId="0" fontId="0" fillId="0" borderId="0" xfId="0" applyAlignment="1">
      <alignment horizontal="center"/>
    </xf>
    <xf numFmtId="43" fontId="20" fillId="0" borderId="16" xfId="0" applyNumberFormat="1" applyFont="1" applyBorder="1" applyAlignment="1">
      <alignment horizontal="left"/>
    </xf>
    <xf numFmtId="10" fontId="0" fillId="0" borderId="14" xfId="2" applyNumberFormat="1" applyFont="1" applyBorder="1" applyAlignment="1"/>
    <xf numFmtId="9" fontId="0" fillId="0" borderId="17" xfId="0" applyNumberFormat="1" applyBorder="1"/>
    <xf numFmtId="165" fontId="0" fillId="0" borderId="0" xfId="3" applyFont="1"/>
    <xf numFmtId="165" fontId="18" fillId="7" borderId="0" xfId="3" applyFont="1" applyFill="1"/>
    <xf numFmtId="0" fontId="0" fillId="0" borderId="17" xfId="0" applyBorder="1"/>
    <xf numFmtId="0" fontId="22" fillId="9" borderId="0" xfId="0" applyFont="1" applyFill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4" fillId="15" borderId="18" xfId="0" applyFont="1" applyFill="1" applyBorder="1" applyAlignment="1" applyProtection="1">
      <alignment vertical="center"/>
      <protection locked="0"/>
    </xf>
    <xf numFmtId="0" fontId="24" fillId="15" borderId="0" xfId="0" applyFont="1" applyFill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>
      <alignment vertical="center"/>
    </xf>
    <xf numFmtId="0" fontId="26" fillId="9" borderId="0" xfId="0" applyFont="1" applyFill="1" applyAlignment="1" applyProtection="1">
      <alignment vertical="center"/>
      <protection locked="0"/>
    </xf>
    <xf numFmtId="168" fontId="27" fillId="16" borderId="12" xfId="3" applyNumberFormat="1" applyFont="1" applyFill="1" applyBorder="1" applyAlignment="1" applyProtection="1">
      <alignment vertical="center"/>
      <protection locked="0"/>
    </xf>
    <xf numFmtId="168" fontId="27" fillId="16" borderId="12" xfId="3" applyNumberFormat="1" applyFont="1" applyFill="1" applyBorder="1" applyAlignment="1" applyProtection="1">
      <alignment horizontal="right" vertical="center"/>
      <protection locked="0"/>
    </xf>
    <xf numFmtId="0" fontId="26" fillId="9" borderId="19" xfId="0" applyFont="1" applyFill="1" applyBorder="1" applyAlignment="1" applyProtection="1">
      <alignment horizontal="right" vertical="center"/>
      <protection locked="0"/>
    </xf>
    <xf numFmtId="0" fontId="24" fillId="0" borderId="12" xfId="0" applyFont="1" applyBorder="1" applyAlignment="1" applyProtection="1">
      <alignment vertical="center"/>
      <protection locked="0"/>
    </xf>
    <xf numFmtId="49" fontId="26" fillId="9" borderId="12" xfId="4" applyFont="1" applyFill="1" applyAlignment="1" applyProtection="1">
      <alignment vertical="center" wrapText="1"/>
      <protection locked="0"/>
    </xf>
    <xf numFmtId="49" fontId="26" fillId="9" borderId="12" xfId="4" applyFont="1" applyFill="1" applyAlignment="1" applyProtection="1">
      <alignment horizontal="right" vertical="center" wrapText="1"/>
      <protection locked="0"/>
    </xf>
    <xf numFmtId="0" fontId="25" fillId="0" borderId="0" xfId="0" applyFont="1" applyAlignment="1" applyProtection="1">
      <alignment horizontal="right" vertical="center"/>
      <protection locked="0"/>
    </xf>
    <xf numFmtId="165" fontId="25" fillId="0" borderId="0" xfId="0" applyNumberFormat="1" applyFont="1" applyAlignment="1" applyProtection="1">
      <alignment vertical="center"/>
      <protection locked="0"/>
    </xf>
    <xf numFmtId="170" fontId="25" fillId="0" borderId="0" xfId="0" applyNumberFormat="1" applyFont="1" applyAlignment="1" applyProtection="1">
      <alignment vertical="center"/>
      <protection locked="0"/>
    </xf>
    <xf numFmtId="0" fontId="29" fillId="0" borderId="12" xfId="0" applyFont="1" applyBorder="1" applyAlignment="1" applyProtection="1">
      <alignment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168" fontId="25" fillId="0" borderId="12" xfId="3" applyNumberFormat="1" applyFont="1" applyBorder="1" applyAlignment="1" applyProtection="1">
      <alignment vertical="center"/>
      <protection locked="0"/>
    </xf>
    <xf numFmtId="168" fontId="25" fillId="0" borderId="12" xfId="0" applyNumberFormat="1" applyFont="1" applyBorder="1" applyAlignment="1" applyProtection="1">
      <alignment vertical="center"/>
      <protection locked="0"/>
    </xf>
    <xf numFmtId="0" fontId="26" fillId="9" borderId="19" xfId="5" applyFont="1" applyFill="1" applyBorder="1" applyAlignment="1" applyProtection="1">
      <alignment vertical="center"/>
      <protection locked="0"/>
    </xf>
    <xf numFmtId="0" fontId="26" fillId="9" borderId="19" xfId="0" applyFont="1" applyFill="1" applyBorder="1" applyAlignment="1" applyProtection="1">
      <alignment horizontal="center" vertical="center"/>
      <protection locked="0"/>
    </xf>
    <xf numFmtId="0" fontId="27" fillId="20" borderId="12" xfId="0" applyFont="1" applyFill="1" applyBorder="1" applyAlignment="1" applyProtection="1">
      <alignment vertical="center"/>
      <protection locked="0"/>
    </xf>
    <xf numFmtId="0" fontId="31" fillId="9" borderId="0" xfId="0" applyFont="1" applyFill="1" applyAlignment="1" applyProtection="1">
      <alignment horizontal="left" vertical="center"/>
      <protection locked="0"/>
    </xf>
    <xf numFmtId="0" fontId="31" fillId="9" borderId="0" xfId="0" applyFont="1" applyFill="1" applyAlignment="1" applyProtection="1">
      <alignment vertical="center"/>
      <protection locked="0"/>
    </xf>
    <xf numFmtId="0" fontId="33" fillId="0" borderId="0" xfId="6" applyFont="1"/>
    <xf numFmtId="0" fontId="33" fillId="0" borderId="0" xfId="6" applyFont="1" applyAlignment="1">
      <alignment horizontal="right"/>
    </xf>
    <xf numFmtId="0" fontId="0" fillId="0" borderId="0" xfId="0" applyAlignment="1">
      <alignment horizontal="right"/>
    </xf>
    <xf numFmtId="0" fontId="25" fillId="0" borderId="0" xfId="0" applyFont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34" fillId="21" borderId="0" xfId="6" applyFont="1" applyFill="1" applyAlignment="1">
      <alignment vertical="center"/>
    </xf>
    <xf numFmtId="0" fontId="34" fillId="21" borderId="0" xfId="6" applyFont="1" applyFill="1" applyAlignment="1">
      <alignment horizontal="center" vertical="center"/>
    </xf>
    <xf numFmtId="0" fontId="34" fillId="22" borderId="0" xfId="6" applyFont="1" applyFill="1" applyAlignment="1">
      <alignment horizontal="center" vertical="center"/>
    </xf>
    <xf numFmtId="0" fontId="34" fillId="21" borderId="0" xfId="6" applyFont="1" applyFill="1" applyAlignment="1">
      <alignment horizontal="right" vertical="center"/>
    </xf>
    <xf numFmtId="3" fontId="33" fillId="23" borderId="0" xfId="6" applyNumberFormat="1" applyFont="1" applyFill="1"/>
    <xf numFmtId="0" fontId="33" fillId="23" borderId="0" xfId="6" applyFont="1" applyFill="1"/>
    <xf numFmtId="0" fontId="0" fillId="11" borderId="0" xfId="0" applyFill="1"/>
    <xf numFmtId="9" fontId="33" fillId="0" borderId="20" xfId="6" applyNumberFormat="1" applyFont="1" applyBorder="1" applyAlignment="1">
      <alignment horizontal="right" vertical="center"/>
    </xf>
    <xf numFmtId="9" fontId="0" fillId="0" borderId="0" xfId="2" applyFont="1"/>
    <xf numFmtId="3" fontId="35" fillId="23" borderId="0" xfId="6" applyNumberFormat="1" applyFont="1" applyFill="1"/>
    <xf numFmtId="0" fontId="35" fillId="23" borderId="0" xfId="6" applyFont="1" applyFill="1"/>
    <xf numFmtId="9" fontId="35" fillId="0" borderId="20" xfId="6" applyNumberFormat="1" applyFont="1" applyBorder="1" applyAlignment="1">
      <alignment horizontal="right" vertical="center"/>
    </xf>
    <xf numFmtId="9" fontId="0" fillId="0" borderId="0" xfId="0" applyNumberFormat="1"/>
    <xf numFmtId="9" fontId="19" fillId="0" borderId="20" xfId="2" applyFont="1" applyBorder="1" applyAlignment="1">
      <alignment horizontal="center" vertical="center"/>
    </xf>
    <xf numFmtId="9" fontId="0" fillId="0" borderId="0" xfId="0" applyNumberFormat="1" applyAlignment="1">
      <alignment horizontal="right"/>
    </xf>
    <xf numFmtId="0" fontId="20" fillId="21" borderId="0" xfId="6" applyFont="1" applyFill="1" applyAlignment="1">
      <alignment horizontal="left" vertical="center"/>
    </xf>
    <xf numFmtId="0" fontId="20" fillId="21" borderId="0" xfId="6" applyFont="1" applyFill="1" applyAlignment="1">
      <alignment vertical="center"/>
    </xf>
    <xf numFmtId="0" fontId="20" fillId="21" borderId="0" xfId="6" applyFont="1" applyFill="1" applyAlignment="1">
      <alignment horizontal="center" vertical="center"/>
    </xf>
    <xf numFmtId="0" fontId="20" fillId="22" borderId="0" xfId="6" applyFont="1" applyFill="1" applyAlignment="1">
      <alignment horizontal="center" vertical="center"/>
    </xf>
    <xf numFmtId="0" fontId="1" fillId="23" borderId="0" xfId="6" applyFont="1" applyFill="1" applyAlignment="1">
      <alignment horizontal="left"/>
    </xf>
    <xf numFmtId="0" fontId="1" fillId="23" borderId="0" xfId="6" applyFont="1" applyFill="1"/>
    <xf numFmtId="9" fontId="1" fillId="0" borderId="20" xfId="2" applyFont="1" applyBorder="1" applyAlignment="1">
      <alignment horizontal="center" vertical="center"/>
    </xf>
    <xf numFmtId="0" fontId="17" fillId="23" borderId="0" xfId="6" applyFont="1" applyFill="1" applyAlignment="1">
      <alignment horizontal="left"/>
    </xf>
    <xf numFmtId="0" fontId="17" fillId="23" borderId="0" xfId="6" applyFont="1" applyFill="1"/>
    <xf numFmtId="0" fontId="17" fillId="22" borderId="0" xfId="6" applyFont="1" applyFill="1" applyAlignment="1">
      <alignment horizontal="center" vertical="center"/>
    </xf>
    <xf numFmtId="9" fontId="17" fillId="0" borderId="20" xfId="2" applyFont="1" applyBorder="1" applyAlignment="1">
      <alignment horizontal="center" vertical="center"/>
    </xf>
    <xf numFmtId="0" fontId="1" fillId="23" borderId="0" xfId="6" applyFont="1" applyFill="1" applyAlignment="1">
      <alignment horizontal="left" indent="1"/>
    </xf>
    <xf numFmtId="0" fontId="1" fillId="24" borderId="0" xfId="6" applyFont="1" applyFill="1"/>
    <xf numFmtId="0" fontId="36" fillId="23" borderId="0" xfId="6" applyFont="1" applyFill="1" applyAlignment="1">
      <alignment horizontal="left"/>
    </xf>
    <xf numFmtId="0" fontId="36" fillId="23" borderId="0" xfId="6" applyFont="1" applyFill="1"/>
    <xf numFmtId="0" fontId="36" fillId="24" borderId="0" xfId="6" applyFont="1" applyFill="1"/>
    <xf numFmtId="9" fontId="36" fillId="0" borderId="20" xfId="2" applyFont="1" applyBorder="1" applyAlignment="1">
      <alignment horizontal="center" vertical="center"/>
    </xf>
    <xf numFmtId="0" fontId="37" fillId="23" borderId="0" xfId="6" applyFont="1" applyFill="1" applyAlignment="1">
      <alignment horizontal="left"/>
    </xf>
    <xf numFmtId="0" fontId="37" fillId="23" borderId="0" xfId="6" applyFont="1" applyFill="1"/>
    <xf numFmtId="0" fontId="37" fillId="24" borderId="0" xfId="6" applyFont="1" applyFill="1"/>
    <xf numFmtId="9" fontId="37" fillId="0" borderId="20" xfId="2" applyFont="1" applyBorder="1" applyAlignment="1">
      <alignment horizontal="center" vertical="center"/>
    </xf>
    <xf numFmtId="0" fontId="38" fillId="23" borderId="0" xfId="6" applyFont="1" applyFill="1" applyAlignment="1">
      <alignment horizontal="left"/>
    </xf>
    <xf numFmtId="0" fontId="38" fillId="23" borderId="0" xfId="6" applyFont="1" applyFill="1"/>
    <xf numFmtId="0" fontId="38" fillId="24" borderId="0" xfId="6" applyFont="1" applyFill="1"/>
    <xf numFmtId="9" fontId="38" fillId="0" borderId="20" xfId="2" applyFont="1" applyBorder="1" applyAlignment="1">
      <alignment horizontal="center" vertical="center"/>
    </xf>
    <xf numFmtId="0" fontId="1" fillId="0" borderId="0" xfId="0" applyFont="1"/>
    <xf numFmtId="0" fontId="1" fillId="11" borderId="0" xfId="6" applyFont="1" applyFill="1"/>
    <xf numFmtId="0" fontId="19" fillId="25" borderId="0" xfId="6" applyFont="1" applyFill="1" applyAlignment="1">
      <alignment horizontal="left"/>
    </xf>
    <xf numFmtId="0" fontId="1" fillId="25" borderId="0" xfId="6" applyFont="1" applyFill="1" applyAlignment="1">
      <alignment horizontal="center"/>
    </xf>
    <xf numFmtId="0" fontId="19" fillId="23" borderId="0" xfId="6" applyFont="1" applyFill="1" applyAlignment="1">
      <alignment horizontal="left"/>
    </xf>
    <xf numFmtId="0" fontId="1" fillId="0" borderId="0" xfId="6" applyFont="1" applyAlignment="1">
      <alignment horizontal="left"/>
    </xf>
    <xf numFmtId="0" fontId="1" fillId="0" borderId="0" xfId="6" applyFont="1"/>
    <xf numFmtId="0" fontId="21" fillId="26" borderId="0" xfId="7" applyFill="1"/>
    <xf numFmtId="0" fontId="39" fillId="26" borderId="0" xfId="7" applyFont="1" applyFill="1"/>
    <xf numFmtId="171" fontId="41" fillId="26" borderId="0" xfId="7" applyNumberFormat="1" applyFont="1" applyFill="1"/>
    <xf numFmtId="0" fontId="42" fillId="26" borderId="0" xfId="7" applyFont="1" applyFill="1"/>
    <xf numFmtId="0" fontId="45" fillId="26" borderId="0" xfId="7" applyFont="1" applyFill="1"/>
    <xf numFmtId="172" fontId="47" fillId="26" borderId="0" xfId="7" applyNumberFormat="1" applyFont="1" applyFill="1"/>
    <xf numFmtId="9" fontId="46" fillId="26" borderId="0" xfId="7" applyNumberFormat="1" applyFont="1" applyFill="1" applyAlignment="1">
      <alignment horizontal="center"/>
    </xf>
    <xf numFmtId="0" fontId="46" fillId="14" borderId="22" xfId="7" applyFont="1" applyFill="1" applyBorder="1"/>
    <xf numFmtId="0" fontId="46" fillId="14" borderId="23" xfId="7" applyFont="1" applyFill="1" applyBorder="1"/>
    <xf numFmtId="9" fontId="47" fillId="26" borderId="0" xfId="2" applyFont="1" applyFill="1" applyBorder="1"/>
    <xf numFmtId="0" fontId="46" fillId="14" borderId="24" xfId="7" applyFont="1" applyFill="1" applyBorder="1"/>
    <xf numFmtId="168" fontId="46" fillId="14" borderId="12" xfId="3" applyNumberFormat="1" applyFont="1" applyFill="1" applyBorder="1"/>
    <xf numFmtId="9" fontId="48" fillId="26" borderId="0" xfId="7" applyNumberFormat="1" applyFont="1" applyFill="1" applyAlignment="1">
      <alignment horizontal="center"/>
    </xf>
    <xf numFmtId="0" fontId="46" fillId="14" borderId="25" xfId="7" applyFont="1" applyFill="1" applyBorder="1"/>
    <xf numFmtId="0" fontId="46" fillId="28" borderId="28" xfId="7" applyFont="1" applyFill="1" applyBorder="1"/>
    <xf numFmtId="0" fontId="46" fillId="28" borderId="29" xfId="7" applyFont="1" applyFill="1" applyBorder="1"/>
    <xf numFmtId="0" fontId="46" fillId="28" borderId="30" xfId="7" applyFont="1" applyFill="1" applyBorder="1"/>
    <xf numFmtId="9" fontId="46" fillId="29" borderId="32" xfId="7" applyNumberFormat="1" applyFont="1" applyFill="1" applyBorder="1" applyAlignment="1">
      <alignment horizontal="center"/>
    </xf>
    <xf numFmtId="168" fontId="47" fillId="15" borderId="32" xfId="3" applyNumberFormat="1" applyFont="1" applyFill="1" applyBorder="1"/>
    <xf numFmtId="10" fontId="47" fillId="17" borderId="27" xfId="2" applyNumberFormat="1" applyFont="1" applyFill="1" applyBorder="1" applyAlignment="1">
      <alignment horizontal="right"/>
    </xf>
    <xf numFmtId="9" fontId="46" fillId="30" borderId="33" xfId="7" applyNumberFormat="1" applyFont="1" applyFill="1" applyBorder="1" applyAlignment="1">
      <alignment horizontal="center"/>
    </xf>
    <xf numFmtId="168" fontId="47" fillId="15" borderId="33" xfId="3" applyNumberFormat="1" applyFont="1" applyFill="1" applyBorder="1"/>
    <xf numFmtId="168" fontId="21" fillId="26" borderId="0" xfId="3" applyNumberFormat="1" applyFont="1" applyFill="1" applyBorder="1"/>
    <xf numFmtId="9" fontId="48" fillId="31" borderId="33" xfId="7" applyNumberFormat="1" applyFont="1" applyFill="1" applyBorder="1" applyAlignment="1">
      <alignment horizontal="center"/>
    </xf>
    <xf numFmtId="43" fontId="21" fillId="26" borderId="0" xfId="7" applyNumberFormat="1" applyFill="1"/>
    <xf numFmtId="9" fontId="46" fillId="32" borderId="33" xfId="7" applyNumberFormat="1" applyFont="1" applyFill="1" applyBorder="1" applyAlignment="1">
      <alignment horizontal="center"/>
    </xf>
    <xf numFmtId="9" fontId="46" fillId="33" borderId="36" xfId="7" applyNumberFormat="1" applyFont="1" applyFill="1" applyBorder="1" applyAlignment="1">
      <alignment horizontal="center"/>
    </xf>
    <xf numFmtId="168" fontId="47" fillId="15" borderId="36" xfId="3" applyNumberFormat="1" applyFont="1" applyFill="1" applyBorder="1"/>
    <xf numFmtId="43" fontId="1" fillId="0" borderId="20" xfId="1" applyFont="1" applyBorder="1" applyAlignment="1">
      <alignment horizontal="center" vertical="center"/>
    </xf>
    <xf numFmtId="173" fontId="1" fillId="0" borderId="20" xfId="1" applyNumberFormat="1" applyFont="1" applyBorder="1" applyAlignment="1">
      <alignment horizontal="center" vertical="center"/>
    </xf>
    <xf numFmtId="0" fontId="49" fillId="0" borderId="0" xfId="0" applyFont="1" applyAlignment="1" applyProtection="1">
      <alignment horizontal="left"/>
      <protection locked="0"/>
    </xf>
    <xf numFmtId="43" fontId="19" fillId="0" borderId="20" xfId="1" applyFont="1" applyBorder="1" applyAlignment="1">
      <alignment horizontal="center" vertical="center"/>
    </xf>
    <xf numFmtId="43" fontId="17" fillId="0" borderId="20" xfId="1" applyFont="1" applyBorder="1" applyAlignment="1">
      <alignment horizontal="center" vertical="center"/>
    </xf>
    <xf numFmtId="43" fontId="36" fillId="0" borderId="20" xfId="1" applyFont="1" applyBorder="1" applyAlignment="1">
      <alignment horizontal="center" vertical="center"/>
    </xf>
    <xf numFmtId="43" fontId="37" fillId="0" borderId="20" xfId="1" applyFont="1" applyBorder="1" applyAlignment="1">
      <alignment horizontal="center" vertical="center"/>
    </xf>
    <xf numFmtId="43" fontId="38" fillId="0" borderId="20" xfId="1" applyFont="1" applyBorder="1" applyAlignment="1">
      <alignment horizontal="center" vertical="center"/>
    </xf>
    <xf numFmtId="173" fontId="1" fillId="25" borderId="0" xfId="1" applyNumberFormat="1" applyFont="1" applyFill="1" applyAlignment="1">
      <alignment horizontal="center"/>
    </xf>
    <xf numFmtId="43" fontId="1" fillId="0" borderId="0" xfId="6" applyNumberFormat="1" applyFont="1" applyAlignment="1">
      <alignment horizontal="right"/>
    </xf>
    <xf numFmtId="43" fontId="27" fillId="16" borderId="12" xfId="1" applyFont="1" applyFill="1" applyBorder="1" applyAlignment="1" applyProtection="1">
      <alignment vertical="center"/>
      <protection locked="0"/>
    </xf>
    <xf numFmtId="43" fontId="0" fillId="11" borderId="0" xfId="1" applyFont="1" applyFill="1" applyAlignment="1">
      <alignment horizontal="right" vertical="center"/>
    </xf>
    <xf numFmtId="43" fontId="0" fillId="11" borderId="14" xfId="1" applyFont="1" applyFill="1" applyBorder="1" applyAlignment="1">
      <alignment horizontal="right" vertical="center"/>
    </xf>
    <xf numFmtId="0" fontId="20" fillId="0" borderId="0" xfId="0" applyFont="1"/>
    <xf numFmtId="0" fontId="0" fillId="0" borderId="14" xfId="0" applyBorder="1"/>
    <xf numFmtId="0" fontId="19" fillId="10" borderId="0" xfId="0" applyFont="1" applyFill="1" applyAlignment="1">
      <alignment horizontal="left" wrapText="1"/>
    </xf>
    <xf numFmtId="43" fontId="19" fillId="13" borderId="0" xfId="0" applyNumberFormat="1" applyFont="1" applyFill="1" applyAlignment="1">
      <alignment horizontal="center"/>
    </xf>
    <xf numFmtId="0" fontId="19" fillId="11" borderId="0" xfId="0" applyFont="1" applyFill="1" applyAlignment="1">
      <alignment horizontal="center"/>
    </xf>
    <xf numFmtId="172" fontId="19" fillId="11" borderId="0" xfId="0" applyNumberFormat="1" applyFont="1" applyFill="1" applyAlignment="1">
      <alignment horizontal="center"/>
    </xf>
    <xf numFmtId="165" fontId="19" fillId="11" borderId="0" xfId="3" applyFont="1" applyFill="1" applyAlignment="1">
      <alignment horizontal="center" vertical="center"/>
    </xf>
    <xf numFmtId="9" fontId="19" fillId="1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18" fillId="11" borderId="0" xfId="0" applyFont="1" applyFill="1"/>
    <xf numFmtId="0" fontId="50" fillId="0" borderId="0" xfId="8"/>
    <xf numFmtId="0" fontId="19" fillId="0" borderId="0" xfId="0" applyFont="1"/>
    <xf numFmtId="0" fontId="19" fillId="23" borderId="0" xfId="6" applyFont="1" applyFill="1"/>
    <xf numFmtId="43" fontId="47" fillId="17" borderId="27" xfId="7" applyNumberFormat="1" applyFont="1" applyFill="1" applyBorder="1" applyAlignment="1">
      <alignment horizontal="right"/>
    </xf>
    <xf numFmtId="0" fontId="21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47" fillId="0" borderId="45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47" fillId="0" borderId="47" xfId="0" applyFont="1" applyBorder="1" applyAlignment="1">
      <alignment horizontal="center" vertical="center" wrapText="1"/>
    </xf>
    <xf numFmtId="0" fontId="47" fillId="34" borderId="48" xfId="0" applyFont="1" applyFill="1" applyBorder="1" applyAlignment="1">
      <alignment horizontal="center" vertical="center" wrapText="1"/>
    </xf>
    <xf numFmtId="0" fontId="47" fillId="34" borderId="49" xfId="0" applyFont="1" applyFill="1" applyBorder="1" applyAlignment="1">
      <alignment horizontal="center" vertical="center" wrapText="1"/>
    </xf>
    <xf numFmtId="0" fontId="47" fillId="35" borderId="49" xfId="0" applyFont="1" applyFill="1" applyBorder="1" applyAlignment="1">
      <alignment horizontal="center" vertical="center" wrapText="1"/>
    </xf>
    <xf numFmtId="0" fontId="47" fillId="36" borderId="49" xfId="0" applyFont="1" applyFill="1" applyBorder="1" applyAlignment="1">
      <alignment horizontal="center" vertical="center" wrapText="1"/>
    </xf>
    <xf numFmtId="0" fontId="47" fillId="37" borderId="49" xfId="0" applyFont="1" applyFill="1" applyBorder="1" applyAlignment="1">
      <alignment horizontal="center" vertical="center" wrapText="1"/>
    </xf>
    <xf numFmtId="0" fontId="47" fillId="38" borderId="49" xfId="0" applyFont="1" applyFill="1" applyBorder="1" applyAlignment="1">
      <alignment horizontal="center" vertical="center" wrapText="1"/>
    </xf>
    <xf numFmtId="0" fontId="47" fillId="39" borderId="49" xfId="0" applyFont="1" applyFill="1" applyBorder="1" applyAlignment="1">
      <alignment horizontal="center" vertical="center" wrapText="1"/>
    </xf>
    <xf numFmtId="0" fontId="47" fillId="39" borderId="50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2" fontId="21" fillId="0" borderId="52" xfId="0" applyNumberFormat="1" applyFont="1" applyBorder="1" applyAlignment="1">
      <alignment horizontal="right" vertical="center"/>
    </xf>
    <xf numFmtId="2" fontId="21" fillId="0" borderId="53" xfId="0" applyNumberFormat="1" applyFont="1" applyBorder="1" applyAlignment="1">
      <alignment horizontal="right" vertical="center"/>
    </xf>
    <xf numFmtId="0" fontId="21" fillId="0" borderId="54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2" fontId="21" fillId="0" borderId="55" xfId="0" applyNumberFormat="1" applyFont="1" applyBorder="1" applyAlignment="1">
      <alignment horizontal="right" vertical="center"/>
    </xf>
    <xf numFmtId="9" fontId="21" fillId="0" borderId="55" xfId="0" applyNumberFormat="1" applyFont="1" applyBorder="1" applyAlignment="1">
      <alignment horizontal="center" vertical="center"/>
    </xf>
    <xf numFmtId="2" fontId="21" fillId="0" borderId="56" xfId="0" applyNumberFormat="1" applyFont="1" applyBorder="1" applyAlignment="1">
      <alignment horizontal="right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2" fontId="21" fillId="0" borderId="47" xfId="0" applyNumberFormat="1" applyFont="1" applyBorder="1" applyAlignment="1">
      <alignment horizontal="right" vertical="center"/>
    </xf>
    <xf numFmtId="2" fontId="21" fillId="0" borderId="46" xfId="0" applyNumberFormat="1" applyFont="1" applyBorder="1" applyAlignment="1">
      <alignment horizontal="right" vertical="center"/>
    </xf>
    <xf numFmtId="9" fontId="21" fillId="0" borderId="46" xfId="0" applyNumberFormat="1" applyFont="1" applyBorder="1" applyAlignment="1">
      <alignment horizontal="center" vertical="center"/>
    </xf>
    <xf numFmtId="2" fontId="47" fillId="0" borderId="46" xfId="0" applyNumberFormat="1" applyFont="1" applyBorder="1" applyAlignment="1">
      <alignment horizontal="center" vertical="center" wrapText="1"/>
    </xf>
    <xf numFmtId="2" fontId="47" fillId="0" borderId="47" xfId="0" applyNumberFormat="1" applyFont="1" applyBorder="1" applyAlignment="1">
      <alignment horizontal="center" vertical="center" wrapText="1"/>
    </xf>
    <xf numFmtId="2" fontId="47" fillId="35" borderId="49" xfId="0" applyNumberFormat="1" applyFont="1" applyFill="1" applyBorder="1" applyAlignment="1">
      <alignment horizontal="center" vertical="center" wrapText="1"/>
    </xf>
    <xf numFmtId="2" fontId="47" fillId="36" borderId="49" xfId="0" applyNumberFormat="1" applyFont="1" applyFill="1" applyBorder="1" applyAlignment="1">
      <alignment horizontal="center" vertical="center" wrapText="1"/>
    </xf>
    <xf numFmtId="2" fontId="47" fillId="37" borderId="49" xfId="0" applyNumberFormat="1" applyFont="1" applyFill="1" applyBorder="1" applyAlignment="1">
      <alignment horizontal="center" vertical="center" wrapText="1"/>
    </xf>
    <xf numFmtId="2" fontId="47" fillId="38" borderId="49" xfId="0" applyNumberFormat="1" applyFont="1" applyFill="1" applyBorder="1" applyAlignment="1">
      <alignment horizontal="center" vertical="center" wrapText="1"/>
    </xf>
    <xf numFmtId="2" fontId="47" fillId="39" borderId="49" xfId="0" applyNumberFormat="1" applyFont="1" applyFill="1" applyBorder="1" applyAlignment="1">
      <alignment horizontal="center" vertical="center" wrapText="1"/>
    </xf>
    <xf numFmtId="2" fontId="47" fillId="39" borderId="5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7" fillId="0" borderId="57" xfId="0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 wrapText="1"/>
    </xf>
    <xf numFmtId="0" fontId="47" fillId="0" borderId="60" xfId="0" applyFont="1" applyBorder="1" applyAlignment="1">
      <alignment horizontal="center" vertical="center"/>
    </xf>
    <xf numFmtId="0" fontId="47" fillId="0" borderId="6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2" fontId="21" fillId="0" borderId="55" xfId="0" applyNumberFormat="1" applyFont="1" applyBorder="1" applyAlignment="1">
      <alignment horizontal="right"/>
    </xf>
    <xf numFmtId="0" fontId="21" fillId="0" borderId="55" xfId="0" applyFont="1" applyBorder="1" applyAlignment="1">
      <alignment wrapText="1"/>
    </xf>
    <xf numFmtId="9" fontId="21" fillId="0" borderId="55" xfId="0" applyNumberFormat="1" applyFont="1" applyBorder="1" applyAlignment="1">
      <alignment horizontal="center"/>
    </xf>
    <xf numFmtId="0" fontId="47" fillId="0" borderId="55" xfId="0" applyFont="1" applyBorder="1" applyAlignment="1">
      <alignment horizontal="center"/>
    </xf>
    <xf numFmtId="0" fontId="47" fillId="0" borderId="55" xfId="0" applyFont="1" applyBorder="1" applyAlignment="1">
      <alignment horizontal="center" wrapText="1"/>
    </xf>
    <xf numFmtId="9" fontId="47" fillId="0" borderId="55" xfId="0" applyNumberFormat="1" applyFont="1" applyBorder="1" applyAlignment="1">
      <alignment horizontal="center"/>
    </xf>
    <xf numFmtId="0" fontId="21" fillId="0" borderId="55" xfId="0" applyFont="1" applyBorder="1"/>
    <xf numFmtId="175" fontId="21" fillId="0" borderId="55" xfId="0" applyNumberFormat="1" applyFont="1" applyBorder="1" applyAlignment="1">
      <alignment horizontal="center"/>
    </xf>
    <xf numFmtId="1" fontId="47" fillId="0" borderId="55" xfId="0" applyNumberFormat="1" applyFont="1" applyBorder="1" applyAlignment="1">
      <alignment horizontal="center"/>
    </xf>
    <xf numFmtId="2" fontId="47" fillId="0" borderId="55" xfId="0" applyNumberFormat="1" applyFont="1" applyBorder="1" applyAlignment="1">
      <alignment horizontal="center"/>
    </xf>
    <xf numFmtId="0" fontId="47" fillId="0" borderId="55" xfId="0" applyFont="1" applyBorder="1" applyAlignment="1">
      <alignment horizontal="left" vertical="center" wrapText="1"/>
    </xf>
    <xf numFmtId="2" fontId="47" fillId="0" borderId="55" xfId="0" applyNumberFormat="1" applyFont="1" applyBorder="1" applyAlignment="1">
      <alignment horizontal="center" vertical="center" wrapText="1"/>
    </xf>
    <xf numFmtId="0" fontId="21" fillId="0" borderId="55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47" fillId="0" borderId="58" xfId="0" applyFont="1" applyBorder="1" applyAlignment="1">
      <alignment horizontal="left" vertical="center"/>
    </xf>
    <xf numFmtId="0" fontId="47" fillId="0" borderId="59" xfId="0" applyFont="1" applyBorder="1" applyAlignment="1">
      <alignment horizontal="left" vertical="center"/>
    </xf>
    <xf numFmtId="2" fontId="21" fillId="0" borderId="55" xfId="0" applyNumberFormat="1" applyFont="1" applyBorder="1" applyAlignment="1">
      <alignment horizontal="center"/>
    </xf>
    <xf numFmtId="0" fontId="21" fillId="0" borderId="55" xfId="0" applyFont="1" applyBorder="1" applyAlignment="1">
      <alignment horizontal="right"/>
    </xf>
    <xf numFmtId="0" fontId="21" fillId="35" borderId="55" xfId="0" applyFont="1" applyFill="1" applyBorder="1" applyAlignment="1">
      <alignment horizontal="right"/>
    </xf>
    <xf numFmtId="0" fontId="47" fillId="35" borderId="55" xfId="0" applyFont="1" applyFill="1" applyBorder="1" applyAlignment="1">
      <alignment horizontal="center"/>
    </xf>
    <xf numFmtId="9" fontId="47" fillId="35" borderId="55" xfId="0" applyNumberFormat="1" applyFont="1" applyFill="1" applyBorder="1" applyAlignment="1">
      <alignment horizontal="center"/>
    </xf>
    <xf numFmtId="0" fontId="21" fillId="35" borderId="55" xfId="0" applyFont="1" applyFill="1" applyBorder="1"/>
    <xf numFmtId="0" fontId="21" fillId="0" borderId="0" xfId="0" applyFont="1" applyAlignment="1">
      <alignment horizontal="center"/>
    </xf>
    <xf numFmtId="2" fontId="47" fillId="0" borderId="55" xfId="0" applyNumberFormat="1" applyFont="1" applyBorder="1" applyAlignment="1">
      <alignment horizontal="right"/>
    </xf>
    <xf numFmtId="0" fontId="47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2" fontId="21" fillId="0" borderId="12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 wrapText="1"/>
    </xf>
    <xf numFmtId="0" fontId="47" fillId="0" borderId="52" xfId="0" applyFont="1" applyBorder="1" applyAlignment="1">
      <alignment horizontal="center"/>
    </xf>
    <xf numFmtId="2" fontId="47" fillId="0" borderId="52" xfId="0" applyNumberFormat="1" applyFont="1" applyBorder="1" applyAlignment="1">
      <alignment horizontal="center"/>
    </xf>
    <xf numFmtId="0" fontId="47" fillId="0" borderId="52" xfId="0" applyFont="1" applyBorder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21" fillId="0" borderId="55" xfId="0" applyNumberFormat="1" applyFont="1" applyBorder="1"/>
    <xf numFmtId="2" fontId="47" fillId="0" borderId="55" xfId="0" applyNumberFormat="1" applyFont="1" applyBorder="1"/>
    <xf numFmtId="175" fontId="47" fillId="0" borderId="55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8" fillId="12" borderId="0" xfId="0" applyFont="1" applyFill="1" applyAlignment="1">
      <alignment vertical="center"/>
    </xf>
    <xf numFmtId="3" fontId="8" fillId="12" borderId="0" xfId="0" applyNumberFormat="1" applyFont="1" applyFill="1" applyAlignment="1">
      <alignment vertical="center"/>
    </xf>
    <xf numFmtId="0" fontId="18" fillId="40" borderId="0" xfId="0" applyFont="1" applyFill="1"/>
    <xf numFmtId="167" fontId="19" fillId="41" borderId="12" xfId="0" applyNumberFormat="1" applyFont="1" applyFill="1" applyBorder="1" applyAlignment="1">
      <alignment horizontal="right" vertical="center"/>
    </xf>
    <xf numFmtId="0" fontId="19" fillId="41" borderId="12" xfId="0" applyFont="1" applyFill="1" applyBorder="1"/>
    <xf numFmtId="176" fontId="27" fillId="16" borderId="12" xfId="2" applyNumberFormat="1" applyFont="1" applyFill="1" applyBorder="1" applyAlignment="1" applyProtection="1">
      <alignment vertical="center"/>
      <protection locked="0"/>
    </xf>
    <xf numFmtId="0" fontId="19" fillId="15" borderId="12" xfId="0" applyFont="1" applyFill="1" applyBorder="1" applyAlignment="1" applyProtection="1">
      <alignment horizontal="left" vertical="center" wrapText="1" readingOrder="1"/>
      <protection locked="0"/>
    </xf>
    <xf numFmtId="168" fontId="19" fillId="15" borderId="12" xfId="3" applyNumberFormat="1" applyFont="1" applyFill="1" applyBorder="1" applyAlignment="1" applyProtection="1">
      <alignment horizontal="right" vertical="center" wrapText="1" readingOrder="1"/>
      <protection locked="0"/>
    </xf>
    <xf numFmtId="0" fontId="19" fillId="41" borderId="12" xfId="0" applyFont="1" applyFill="1" applyBorder="1" applyAlignment="1" applyProtection="1">
      <alignment vertical="center"/>
      <protection locked="0"/>
    </xf>
    <xf numFmtId="164" fontId="0" fillId="10" borderId="12" xfId="0" applyNumberFormat="1" applyFill="1" applyBorder="1" applyAlignment="1" applyProtection="1">
      <alignment horizontal="center" vertical="center"/>
      <protection locked="0"/>
    </xf>
    <xf numFmtId="168" fontId="19" fillId="10" borderId="12" xfId="3" applyNumberFormat="1" applyFont="1" applyFill="1" applyBorder="1" applyAlignment="1" applyProtection="1">
      <alignment horizontal="center" vertical="center" wrapText="1" readingOrder="1"/>
      <protection locked="0"/>
    </xf>
    <xf numFmtId="164" fontId="0" fillId="0" borderId="0" xfId="0" applyNumberFormat="1"/>
    <xf numFmtId="165" fontId="27" fillId="16" borderId="12" xfId="3" applyFont="1" applyFill="1" applyBorder="1" applyAlignment="1" applyProtection="1">
      <alignment horizontal="right" vertical="center"/>
      <protection locked="0"/>
    </xf>
    <xf numFmtId="165" fontId="27" fillId="16" borderId="12" xfId="3" applyFont="1" applyFill="1" applyBorder="1" applyAlignment="1" applyProtection="1">
      <alignment vertical="center"/>
      <protection locked="0"/>
    </xf>
    <xf numFmtId="177" fontId="0" fillId="10" borderId="12" xfId="0" applyNumberFormat="1" applyFill="1" applyBorder="1" applyAlignment="1" applyProtection="1">
      <alignment horizontal="center" vertical="center"/>
      <protection locked="0"/>
    </xf>
    <xf numFmtId="177" fontId="19" fillId="10" borderId="12" xfId="3" applyNumberFormat="1" applyFont="1" applyFill="1" applyBorder="1" applyAlignment="1" applyProtection="1">
      <alignment horizontal="center" vertical="center" wrapText="1" readingOrder="1"/>
      <protection locked="0"/>
    </xf>
    <xf numFmtId="165" fontId="0" fillId="11" borderId="0" xfId="3" applyFont="1" applyFill="1" applyAlignment="1">
      <alignment horizontal="right" vertical="center"/>
    </xf>
    <xf numFmtId="43" fontId="0" fillId="10" borderId="12" xfId="1" applyFont="1" applyFill="1" applyBorder="1" applyAlignment="1" applyProtection="1">
      <alignment horizontal="center" vertical="center"/>
      <protection locked="0"/>
    </xf>
    <xf numFmtId="43" fontId="19" fillId="10" borderId="12" xfId="1" applyFont="1" applyFill="1" applyBorder="1" applyAlignment="1" applyProtection="1">
      <alignment horizontal="center" vertical="center" wrapText="1" readingOrder="1"/>
      <protection locked="0"/>
    </xf>
    <xf numFmtId="9" fontId="8" fillId="12" borderId="0" xfId="2" applyFont="1" applyFill="1" applyAlignment="1">
      <alignment vertical="center"/>
    </xf>
    <xf numFmtId="9" fontId="19" fillId="0" borderId="20" xfId="2" applyFont="1" applyBorder="1" applyAlignment="1">
      <alignment horizontal="right" vertical="center"/>
    </xf>
    <xf numFmtId="43" fontId="19" fillId="0" borderId="38" xfId="1" applyFont="1" applyBorder="1" applyAlignment="1">
      <alignment horizontal="center" vertical="center"/>
    </xf>
    <xf numFmtId="43" fontId="1" fillId="0" borderId="37" xfId="1" applyFont="1" applyBorder="1" applyAlignment="1">
      <alignment horizontal="center" vertical="center"/>
    </xf>
    <xf numFmtId="43" fontId="1" fillId="0" borderId="38" xfId="1" applyFont="1" applyBorder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19" fillId="10" borderId="61" xfId="0" applyFont="1" applyFill="1" applyBorder="1" applyAlignment="1">
      <alignment horizontal="left" vertical="center"/>
    </xf>
    <xf numFmtId="168" fontId="19" fillId="11" borderId="61" xfId="3" applyNumberFormat="1" applyFont="1" applyFill="1" applyBorder="1" applyAlignment="1">
      <alignment horizontal="center" vertical="center"/>
    </xf>
    <xf numFmtId="165" fontId="19" fillId="11" borderId="61" xfId="3" applyFont="1" applyFill="1" applyBorder="1" applyAlignment="1">
      <alignment horizontal="center" vertical="center"/>
    </xf>
    <xf numFmtId="0" fontId="18" fillId="9" borderId="0" xfId="0" applyFont="1" applyFill="1"/>
    <xf numFmtId="0" fontId="0" fillId="9" borderId="0" xfId="0" applyFill="1"/>
    <xf numFmtId="0" fontId="18" fillId="9" borderId="0" xfId="0" applyFont="1" applyFill="1" applyAlignment="1">
      <alignment horizontal="right" vertical="center"/>
    </xf>
    <xf numFmtId="174" fontId="0" fillId="0" borderId="0" xfId="0" applyNumberFormat="1"/>
    <xf numFmtId="0" fontId="0" fillId="0" borderId="0" xfId="0" applyAlignment="1">
      <alignment vertical="center" wrapText="1"/>
    </xf>
    <xf numFmtId="174" fontId="19" fillId="0" borderId="0" xfId="0" applyNumberFormat="1" applyFont="1"/>
    <xf numFmtId="168" fontId="19" fillId="42" borderId="0" xfId="3" applyNumberFormat="1" applyFont="1" applyFill="1" applyBorder="1"/>
    <xf numFmtId="168" fontId="0" fillId="0" borderId="0" xfId="3" applyNumberFormat="1" applyFont="1" applyBorder="1"/>
    <xf numFmtId="168" fontId="19" fillId="0" borderId="0" xfId="3" applyNumberFormat="1" applyFont="1" applyBorder="1"/>
    <xf numFmtId="165" fontId="19" fillId="0" borderId="0" xfId="3" applyFont="1" applyBorder="1"/>
    <xf numFmtId="0" fontId="0" fillId="0" borderId="61" xfId="0" applyBorder="1"/>
    <xf numFmtId="9" fontId="19" fillId="0" borderId="38" xfId="2" applyFont="1" applyBorder="1" applyAlignment="1">
      <alignment horizontal="right" vertical="center"/>
    </xf>
    <xf numFmtId="0" fontId="55" fillId="3" borderId="0" xfId="0" applyFont="1" applyFill="1" applyAlignment="1">
      <alignment vertical="center"/>
    </xf>
    <xf numFmtId="176" fontId="55" fillId="3" borderId="0" xfId="2" applyNumberFormat="1" applyFont="1" applyFill="1" applyAlignment="1">
      <alignment vertical="center"/>
    </xf>
    <xf numFmtId="4" fontId="10" fillId="0" borderId="0" xfId="0" applyNumberFormat="1" applyFont="1" applyAlignment="1">
      <alignment vertical="center"/>
    </xf>
    <xf numFmtId="0" fontId="46" fillId="26" borderId="0" xfId="7" applyFont="1" applyFill="1" applyAlignment="1">
      <alignment horizontal="center"/>
    </xf>
    <xf numFmtId="0" fontId="40" fillId="17" borderId="0" xfId="7" applyFont="1" applyFill="1" applyAlignment="1">
      <alignment horizontal="center" vertical="center"/>
    </xf>
    <xf numFmtId="0" fontId="43" fillId="27" borderId="21" xfId="7" applyFont="1" applyFill="1" applyBorder="1" applyAlignment="1">
      <alignment horizontal="center"/>
    </xf>
    <xf numFmtId="0" fontId="43" fillId="27" borderId="0" xfId="7" applyFont="1" applyFill="1" applyAlignment="1">
      <alignment horizontal="center"/>
    </xf>
    <xf numFmtId="0" fontId="43" fillId="26" borderId="0" xfId="7" applyFont="1" applyFill="1" applyAlignment="1">
      <alignment horizontal="center" vertical="center"/>
    </xf>
    <xf numFmtId="172" fontId="44" fillId="26" borderId="0" xfId="7" applyNumberFormat="1" applyFont="1" applyFill="1" applyAlignment="1">
      <alignment horizontal="left" vertical="center"/>
    </xf>
    <xf numFmtId="0" fontId="48" fillId="26" borderId="0" xfId="7" applyFont="1" applyFill="1" applyAlignment="1">
      <alignment horizontal="center"/>
    </xf>
    <xf numFmtId="0" fontId="46" fillId="14" borderId="12" xfId="7" applyFont="1" applyFill="1" applyBorder="1" applyAlignment="1">
      <alignment horizontal="left"/>
    </xf>
    <xf numFmtId="0" fontId="46" fillId="14" borderId="26" xfId="7" applyFont="1" applyFill="1" applyBorder="1" applyAlignment="1">
      <alignment horizontal="left"/>
    </xf>
    <xf numFmtId="0" fontId="46" fillId="29" borderId="31" xfId="7" applyFont="1" applyFill="1" applyBorder="1" applyAlignment="1">
      <alignment horizontal="left"/>
    </xf>
    <xf numFmtId="0" fontId="46" fillId="29" borderId="0" xfId="7" applyFont="1" applyFill="1" applyAlignment="1">
      <alignment horizontal="left"/>
    </xf>
    <xf numFmtId="0" fontId="46" fillId="30" borderId="31" xfId="7" applyFont="1" applyFill="1" applyBorder="1" applyAlignment="1">
      <alignment horizontal="left"/>
    </xf>
    <xf numFmtId="0" fontId="46" fillId="30" borderId="0" xfId="7" applyFont="1" applyFill="1" applyAlignment="1">
      <alignment horizontal="left"/>
    </xf>
    <xf numFmtId="0" fontId="48" fillId="31" borderId="31" xfId="7" applyFont="1" applyFill="1" applyBorder="1" applyAlignment="1">
      <alignment horizontal="left" wrapText="1"/>
    </xf>
    <xf numFmtId="0" fontId="48" fillId="31" borderId="0" xfId="7" applyFont="1" applyFill="1" applyAlignment="1">
      <alignment horizontal="left" wrapText="1"/>
    </xf>
    <xf numFmtId="0" fontId="46" fillId="32" borderId="31" xfId="7" applyFont="1" applyFill="1" applyBorder="1" applyAlignment="1">
      <alignment horizontal="left"/>
    </xf>
    <xf numFmtId="0" fontId="46" fillId="32" borderId="0" xfId="7" applyFont="1" applyFill="1" applyAlignment="1">
      <alignment horizontal="left"/>
    </xf>
    <xf numFmtId="0" fontId="46" fillId="33" borderId="34" xfId="7" applyFont="1" applyFill="1" applyBorder="1" applyAlignment="1">
      <alignment horizontal="left"/>
    </xf>
    <xf numFmtId="0" fontId="46" fillId="33" borderId="35" xfId="7" applyFont="1" applyFill="1" applyBorder="1" applyAlignment="1">
      <alignment horizontal="left"/>
    </xf>
    <xf numFmtId="43" fontId="19" fillId="0" borderId="37" xfId="1" applyFont="1" applyBorder="1" applyAlignment="1">
      <alignment horizontal="center" vertical="center"/>
    </xf>
    <xf numFmtId="43" fontId="19" fillId="0" borderId="38" xfId="1" applyFont="1" applyBorder="1" applyAlignment="1">
      <alignment horizontal="center" vertical="center"/>
    </xf>
    <xf numFmtId="0" fontId="20" fillId="21" borderId="0" xfId="6" applyFont="1" applyFill="1" applyAlignment="1">
      <alignment horizontal="center" vertical="center"/>
    </xf>
    <xf numFmtId="43" fontId="1" fillId="0" borderId="37" xfId="1" applyFont="1" applyBorder="1" applyAlignment="1">
      <alignment horizontal="center" vertical="center"/>
    </xf>
    <xf numFmtId="43" fontId="1" fillId="0" borderId="38" xfId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3" fillId="4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47" fillId="0" borderId="57" xfId="0" applyFont="1" applyBorder="1" applyAlignment="1">
      <alignment horizontal="center" vertical="center"/>
    </xf>
    <xf numFmtId="0" fontId="52" fillId="0" borderId="58" xfId="0" applyFont="1" applyBorder="1"/>
    <xf numFmtId="0" fontId="52" fillId="0" borderId="59" xfId="0" applyFont="1" applyBorder="1"/>
    <xf numFmtId="0" fontId="47" fillId="12" borderId="0" xfId="0" applyFont="1" applyFill="1" applyAlignment="1">
      <alignment horizontal="center" vertical="center"/>
    </xf>
    <xf numFmtId="0" fontId="47" fillId="0" borderId="39" xfId="0" applyFont="1" applyBorder="1" applyAlignment="1">
      <alignment horizontal="center" vertical="center"/>
    </xf>
    <xf numFmtId="0" fontId="52" fillId="0" borderId="40" xfId="0" applyFont="1" applyBorder="1"/>
    <xf numFmtId="0" fontId="52" fillId="0" borderId="41" xfId="0" applyFont="1" applyBorder="1"/>
    <xf numFmtId="0" fontId="47" fillId="0" borderId="42" xfId="0" applyFont="1" applyBorder="1" applyAlignment="1">
      <alignment horizontal="center" vertical="center"/>
    </xf>
    <xf numFmtId="0" fontId="52" fillId="0" borderId="43" xfId="0" applyFont="1" applyBorder="1"/>
    <xf numFmtId="0" fontId="52" fillId="0" borderId="44" xfId="0" applyFont="1" applyBorder="1"/>
    <xf numFmtId="9" fontId="8" fillId="3" borderId="0" xfId="2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51" fillId="9" borderId="0" xfId="0" applyFont="1" applyFill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8" fillId="14" borderId="0" xfId="0" applyFont="1" applyFill="1" applyAlignment="1">
      <alignment horizontal="center" vertical="center"/>
    </xf>
  </cellXfs>
  <cellStyles count="10">
    <cellStyle name="Comma" xfId="1" builtinId="3"/>
    <cellStyle name="Comma 2" xfId="3" xr:uid="{FC6AB416-5027-49AD-B3D6-E433FCFAD996}"/>
    <cellStyle name="Comma 3 2 3 3" xfId="9" xr:uid="{FC3A2531-AA2F-446D-A52D-E329306469B6}"/>
    <cellStyle name="Heading 1 2" xfId="4" xr:uid="{AD6AE20D-778E-4ED1-A3C0-11E4300E2F07}"/>
    <cellStyle name="Hyperlink" xfId="8" builtinId="8"/>
    <cellStyle name="Normal" xfId="0" builtinId="0"/>
    <cellStyle name="Normal 2" xfId="5" xr:uid="{71FBFC94-231D-43B7-BDDB-67689140A17B}"/>
    <cellStyle name="Normal 2 3 3" xfId="7" xr:uid="{A94D636F-A4E4-41F0-AFD9-1E535CC64503}"/>
    <cellStyle name="Normal 2 5" xfId="6" xr:uid="{148CD7C7-49A7-4AC4-88A4-9B9301C5A41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strRef>
          <c:f>Charts!$E$26:$K$26</c:f>
          <c:strCache>
            <c:ptCount val="7"/>
            <c:pt idx="0">
              <c:v>Cash Analysis &amp; Balance Sheet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Charts!$R$31</c:f>
              <c:strCache>
                <c:ptCount val="1"/>
                <c:pt idx="0">
                  <c:v>Cash Burn/Cash Saving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Charts!$S$30:$W$30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Charts!$S$31:$W$31</c:f>
              <c:numCache>
                <c:formatCode>_(* #,##0_);_(* \(#,##0\);_(* "-"??_);_(@_)</c:formatCode>
                <c:ptCount val="5"/>
                <c:pt idx="0">
                  <c:v>2737.644176632436</c:v>
                </c:pt>
                <c:pt idx="1">
                  <c:v>-36.440991663601039</c:v>
                </c:pt>
                <c:pt idx="2">
                  <c:v>352.59650470898947</c:v>
                </c:pt>
                <c:pt idx="3">
                  <c:v>677.84775538167048</c:v>
                </c:pt>
                <c:pt idx="4">
                  <c:v>1052.707319919188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0-4DAB-A6FD-5016223FE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47805584"/>
        <c:axId val="547807504"/>
      </c:barChart>
      <c:lineChart>
        <c:grouping val="standard"/>
        <c:varyColors val="0"/>
        <c:ser>
          <c:idx val="1"/>
          <c:order val="1"/>
          <c:tx>
            <c:strRef>
              <c:f>Charts!$R$32</c:f>
              <c:strCache>
                <c:ptCount val="1"/>
                <c:pt idx="0">
                  <c:v>Ending Cash Balance</c:v>
                </c:pt>
              </c:strCache>
            </c:strRef>
          </c:tx>
          <c:spPr>
            <a:ln w="31750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Charts!$S$30:$W$30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Charts!$S$32:$W$32</c:f>
              <c:numCache>
                <c:formatCode>_(* #,##0_);_(* \(#,##0\);_(* "-"??_);_(@_)</c:formatCode>
                <c:ptCount val="5"/>
                <c:pt idx="0">
                  <c:v>2738.0138745324361</c:v>
                </c:pt>
                <c:pt idx="1">
                  <c:v>2701.5728828688352</c:v>
                </c:pt>
                <c:pt idx="2">
                  <c:v>3054.1693875778246</c:v>
                </c:pt>
                <c:pt idx="3">
                  <c:v>3732.0171429594952</c:v>
                </c:pt>
                <c:pt idx="4">
                  <c:v>4784.724462878683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0-4DAB-A6FD-5016223FE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811824"/>
        <c:axId val="547809904"/>
      </c:lineChart>
      <c:catAx>
        <c:axId val="5478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07504"/>
        <c:crosses val="autoZero"/>
        <c:auto val="1"/>
        <c:lblAlgn val="ctr"/>
        <c:lblOffset val="100"/>
        <c:noMultiLvlLbl val="0"/>
      </c:catAx>
      <c:valAx>
        <c:axId val="54780750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05584"/>
        <c:crosses val="autoZero"/>
        <c:crossBetween val="between"/>
      </c:valAx>
      <c:valAx>
        <c:axId val="547809904"/>
        <c:scaling>
          <c:orientation val="minMax"/>
        </c:scaling>
        <c:delete val="0"/>
        <c:axPos val="r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11824"/>
        <c:crosses val="max"/>
        <c:crossBetween val="between"/>
      </c:valAx>
      <c:catAx>
        <c:axId val="547811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7809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Balance</a:t>
            </a:r>
            <a:r>
              <a:rPr lang="en-IN" b="1" baseline="0"/>
              <a:t> Sheet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Dashboard!$J$28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 w="25400">
              <a:noFill/>
            </a:ln>
            <a:effectLst/>
          </c:spPr>
          <c:cat>
            <c:strRef>
              <c:f>Dashboard!$K$24:$O$24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Dashboard!$K$28:$O$28</c:f>
              <c:numCache>
                <c:formatCode>_ * #,##0.0_ ;_ * \-#,##0.0_ ;_ * "-"??_ ;_ @_ </c:formatCode>
                <c:ptCount val="5"/>
                <c:pt idx="0">
                  <c:v>3056.1706173629618</c:v>
                </c:pt>
                <c:pt idx="1">
                  <c:v>3269.8063024057315</c:v>
                </c:pt>
                <c:pt idx="2">
                  <c:v>3878.9999129103712</c:v>
                </c:pt>
                <c:pt idx="3">
                  <c:v>4881.3708260943777</c:v>
                </c:pt>
                <c:pt idx="4">
                  <c:v>6344.280013502027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B-4D90-A81B-24E42606D78B}"/>
            </c:ext>
          </c:extLst>
        </c:ser>
        <c:ser>
          <c:idx val="1"/>
          <c:order val="1"/>
          <c:tx>
            <c:strRef>
              <c:f>Dashboard!$J$33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cat>
            <c:strRef>
              <c:f>Dashboard!$K$24:$O$24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Dashboard!$K$33:$O$33</c:f>
              <c:numCache>
                <c:formatCode>_ * #,##0.0_ ;_ * \-#,##0.0_ ;_ * "-"??_ ;_ @_ </c:formatCode>
                <c:ptCount val="5"/>
                <c:pt idx="0">
                  <c:v>3056.1706173629618</c:v>
                </c:pt>
                <c:pt idx="1">
                  <c:v>3269.8063024057301</c:v>
                </c:pt>
                <c:pt idx="2">
                  <c:v>3878.9999129103699</c:v>
                </c:pt>
                <c:pt idx="3">
                  <c:v>4881.3708260943768</c:v>
                </c:pt>
                <c:pt idx="4">
                  <c:v>6344.2800135020261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B-4D90-A81B-24E42606D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00351"/>
        <c:axId val="829399391"/>
      </c:areaChart>
      <c:catAx>
        <c:axId val="829400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99391"/>
        <c:crosses val="autoZero"/>
        <c:auto val="1"/>
        <c:lblAlgn val="ctr"/>
        <c:lblOffset val="100"/>
        <c:noMultiLvlLbl val="0"/>
      </c:catAx>
      <c:valAx>
        <c:axId val="829399391"/>
        <c:scaling>
          <c:orientation val="minMax"/>
        </c:scaling>
        <c:delete val="0"/>
        <c:axPos val="l"/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00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and Net Profit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54837257097094"/>
          <c:y val="0.1735204678362573"/>
          <c:w val="0.79970598065268561"/>
          <c:h val="0.66799944743749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Dashboard!#REF!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[3]Dashboard!$D$4:$H$4</c:f>
              <c:strCache>
                <c:ptCount val="5"/>
                <c:pt idx="0">
                  <c:v>Year-1</c:v>
                </c:pt>
                <c:pt idx="1">
                  <c:v>Year-2</c:v>
                </c:pt>
                <c:pt idx="2">
                  <c:v>Year-3</c:v>
                </c:pt>
                <c:pt idx="3">
                  <c:v>Year-4</c:v>
                </c:pt>
                <c:pt idx="4">
                  <c:v>Year-5</c:v>
                </c:pt>
              </c:strCache>
              <c:extLst xmlns:c15="http://schemas.microsoft.com/office/drawing/2012/chart"/>
            </c:strRef>
          </c:cat>
          <c:val>
            <c:numRef>
              <c:f>Dashboard!#REF!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7636-41AE-939A-6583557A1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097759"/>
        <c:axId val="338104959"/>
        <c:extLst/>
      </c:barChart>
      <c:barChart>
        <c:barDir val="col"/>
        <c:grouping val="clustered"/>
        <c:varyColors val="0"/>
        <c:ser>
          <c:idx val="0"/>
          <c:order val="1"/>
          <c:tx>
            <c:strRef>
              <c:f>Dashboard!$B$10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Dashboard!$D$5:$H$5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Dashboard!$D$10:$H$10</c:f>
              <c:numCache>
                <c:formatCode>_(* #,##0.00_);_(* \(#,##0.00\);_(* "-"??_);_(@_)</c:formatCode>
                <c:ptCount val="5"/>
                <c:pt idx="0">
                  <c:v>630</c:v>
                </c:pt>
                <c:pt idx="1">
                  <c:v>2154</c:v>
                </c:pt>
                <c:pt idx="2">
                  <c:v>3816</c:v>
                </c:pt>
                <c:pt idx="3">
                  <c:v>5942.0850000000009</c:v>
                </c:pt>
                <c:pt idx="4">
                  <c:v>8682.983250000003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6-41AE-939A-6583557A1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097759"/>
        <c:axId val="338104959"/>
      </c:barChart>
      <c:lineChart>
        <c:grouping val="stacked"/>
        <c:varyColors val="0"/>
        <c:ser>
          <c:idx val="2"/>
          <c:order val="2"/>
          <c:tx>
            <c:strRef>
              <c:f>Dashboard!$B$11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Dashboard!$D$5:$H$5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Dashboard!$D$11:$H$11</c:f>
              <c:numCache>
                <c:formatCode>0%</c:formatCode>
                <c:ptCount val="5"/>
                <c:pt idx="0">
                  <c:v>-5.1137553862917372E-2</c:v>
                </c:pt>
                <c:pt idx="1">
                  <c:v>0.14242166588911082</c:v>
                </c:pt>
                <c:pt idx="2">
                  <c:v>0.14888080006888302</c:v>
                </c:pt>
                <c:pt idx="3">
                  <c:v>0.14098645160930762</c:v>
                </c:pt>
                <c:pt idx="4">
                  <c:v>0.21307386057500019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36-41AE-939A-6583557A16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23206847"/>
        <c:axId val="1723196287"/>
      </c:lineChart>
      <c:catAx>
        <c:axId val="33809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04959"/>
        <c:crosses val="autoZero"/>
        <c:auto val="1"/>
        <c:lblAlgn val="ctr"/>
        <c:lblOffset val="100"/>
        <c:noMultiLvlLbl val="0"/>
      </c:catAx>
      <c:valAx>
        <c:axId val="33810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97759"/>
        <c:crosses val="autoZero"/>
        <c:crossBetween val="between"/>
      </c:valAx>
      <c:valAx>
        <c:axId val="172319628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06847"/>
        <c:crosses val="max"/>
        <c:crossBetween val="between"/>
      </c:valAx>
      <c:catAx>
        <c:axId val="1723206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3196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Funding Utilisation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C2-4D75-AA87-8E8628E0733F}"/>
              </c:ext>
            </c:extLst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C2-4D75-AA87-8E8628E0733F}"/>
              </c:ext>
            </c:extLst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C2-4D75-AA87-8E8628E0733F}"/>
              </c:ext>
            </c:extLst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C2-4D75-AA87-8E8628E0733F}"/>
              </c:ext>
            </c:extLst>
          </c:dPt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Charts!$G$47:$G$51</c15:sqref>
                  </c15:fullRef>
                </c:ext>
              </c:extLst>
              <c:f>Charts!$G$47:$G$50</c:f>
              <c:numCache>
                <c:formatCode>General</c:formatCode>
                <c:ptCount val="4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Charts!$I$47:$I$51</c15:sqref>
                  </c15:fullRef>
                </c:ext>
              </c:extLst>
              <c:f>Charts!$I$47:$I$50</c:f>
              <c:numCache>
                <c:formatCode>0%</c:formatCode>
                <c:ptCount val="4"/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Charts!$I$51</c15:sqref>
                  <c15:spPr xmlns:c15="http://schemas.microsoft.com/office/drawing/2012/chart">
                    <a:solidFill>
                      <a:schemeClr val="accent5">
                        <a:shade val="58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CDC2-4D75-AA87-8E8628E0733F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CDC2-4D75-AA87-8E8628E0733F}"/>
              </c:ext>
            </c:extLst>
          </c:dPt>
          <c:dPt>
            <c:idx val="1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DC2-4D75-AA87-8E8628E0733F}"/>
              </c:ext>
            </c:extLst>
          </c:dPt>
          <c:dPt>
            <c:idx val="2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DC2-4D75-AA87-8E8628E0733F}"/>
              </c:ext>
            </c:extLst>
          </c:dPt>
          <c:dPt>
            <c:idx val="3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DC2-4D75-AA87-8E8628E073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Charts!$G$47:$G$51</c15:sqref>
                  </c15:fullRef>
                </c:ext>
              </c:extLst>
              <c:f>Charts!$G$47:$G$50</c:f>
              <c:numCache>
                <c:formatCode>General</c:formatCode>
                <c:ptCount val="4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Charts!$J$47:$J$51</c15:sqref>
                  </c15:fullRef>
                </c:ext>
              </c:extLst>
              <c:f>Charts!$J$47:$J$50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Charts!$J$51</c15:sqref>
                  <c15:spPr xmlns:c15="http://schemas.microsoft.com/office/drawing/2012/chart">
                    <a:solidFill>
                      <a:schemeClr val="accent5">
                        <a:shade val="58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CDC2-4D75-AA87-8E8628E0733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5">
                        <a:tint val="58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CDC2-4D75-AA87-8E8628E0733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5">
                        <a:tint val="86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CDC2-4D75-AA87-8E8628E0733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>
                        <a:shade val="86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CDC2-4D75-AA87-8E8628E0733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5">
                        <a:shade val="58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CDC2-4D75-AA87-8E8628E0733F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Charts!$G$47:$G$51</c15:sqref>
                        </c15:fullRef>
                        <c15:formulaRef>
                          <c15:sqref>Charts!$G$47:$G$50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Charts!$H$47:$H$51</c15:sqref>
                        </c15:fullRef>
                        <c15:formulaRef>
                          <c15:sqref>Charts!$H$47:$H$50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Charts!$H$51</c15:sqref>
                        <c15:spPr xmlns:c15="http://schemas.microsoft.com/office/drawing/2012/chart">
                          <a:solidFill>
                            <a:schemeClr val="accent5">
                              <a:shade val="58000"/>
                            </a:schemeClr>
                          </a:solidFill>
                          <a:ln>
                            <a:noFill/>
                          </a:ln>
                          <a:effectLst>
                            <a:outerShdw blurRad="254000" sx="102000" sy="102000" algn="ctr" rotWithShape="0">
                              <a:prstClr val="black">
                                <a:alpha val="20000"/>
                              </a:prstClr>
                            </a:outerShdw>
                          </a:effectLst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1A-CDC2-4D75-AA87-8E8628E0733F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Segmental</a:t>
            </a:r>
            <a:r>
              <a:rPr lang="en-IN" b="1" baseline="0"/>
              <a:t> Revenue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Dashboard!$J$6</c:f>
              <c:strCache>
                <c:ptCount val="1"/>
                <c:pt idx="0">
                  <c:v>Revenue from - Corporate Sales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Dashboard!$K$5:$O$5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Dashboard!$K$6:$O$6</c:f>
              <c:numCache>
                <c:formatCode>0%</c:formatCode>
                <c:ptCount val="5"/>
                <c:pt idx="0">
                  <c:v>0.21428571428571427</c:v>
                </c:pt>
                <c:pt idx="1">
                  <c:v>7.5208913649025072E-2</c:v>
                </c:pt>
                <c:pt idx="2">
                  <c:v>5.3066037735849059E-2</c:v>
                </c:pt>
                <c:pt idx="3">
                  <c:v>4.2598683795334456E-2</c:v>
                </c:pt>
                <c:pt idx="4">
                  <c:v>3.6439808864079049E-2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32-4612-87D5-A00650C12AF2}"/>
            </c:ext>
          </c:extLst>
        </c:ser>
        <c:ser>
          <c:idx val="1"/>
          <c:order val="1"/>
          <c:tx>
            <c:strRef>
              <c:f>Dashboard!$J$7</c:f>
              <c:strCache>
                <c:ptCount val="1"/>
                <c:pt idx="0">
                  <c:v>Revenue from - Millet Cafeteria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Dashboard!$K$5:$O$5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Dashboard!$K$7:$O$7</c:f>
              <c:numCache>
                <c:formatCode>0%</c:formatCode>
                <c:ptCount val="5"/>
                <c:pt idx="0">
                  <c:v>0.42857142857142855</c:v>
                </c:pt>
                <c:pt idx="1">
                  <c:v>0.36768802228412262</c:v>
                </c:pt>
                <c:pt idx="2">
                  <c:v>0.42806603773584911</c:v>
                </c:pt>
                <c:pt idx="3">
                  <c:v>0.48383017072290291</c:v>
                </c:pt>
                <c:pt idx="4">
                  <c:v>0.50079297342880402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32-4612-87D5-A00650C12AF2}"/>
            </c:ext>
          </c:extLst>
        </c:ser>
        <c:ser>
          <c:idx val="2"/>
          <c:order val="2"/>
          <c:tx>
            <c:strRef>
              <c:f>Dashboard!$J$8</c:f>
              <c:strCache>
                <c:ptCount val="1"/>
                <c:pt idx="0">
                  <c:v>Revenue from - Retail Market Sales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Dashboard!$K$5:$O$5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Dashboard!$K$8:$O$8</c:f>
              <c:numCache>
                <c:formatCode>0%</c:formatCode>
                <c:ptCount val="5"/>
                <c:pt idx="0">
                  <c:v>0.11904761904761904</c:v>
                </c:pt>
                <c:pt idx="1">
                  <c:v>0.2785515320334262</c:v>
                </c:pt>
                <c:pt idx="2">
                  <c:v>0.31446540880503143</c:v>
                </c:pt>
                <c:pt idx="3">
                  <c:v>0.30292397365571172</c:v>
                </c:pt>
                <c:pt idx="4">
                  <c:v>0.31095303564014121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32-4612-87D5-A00650C12AF2}"/>
            </c:ext>
          </c:extLst>
        </c:ser>
        <c:ser>
          <c:idx val="3"/>
          <c:order val="3"/>
          <c:tx>
            <c:strRef>
              <c:f>Dashboard!$J$9</c:f>
              <c:strCache>
                <c:ptCount val="1"/>
                <c:pt idx="0">
                  <c:v>Revenue from - Export Sales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Dashboard!$K$5:$O$5</c:f>
              <c:strCache>
                <c:ptCount val="5"/>
                <c:pt idx="0">
                  <c:v>25-26</c:v>
                </c:pt>
                <c:pt idx="1">
                  <c:v>26-27</c:v>
                </c:pt>
                <c:pt idx="2">
                  <c:v>27-28</c:v>
                </c:pt>
                <c:pt idx="3">
                  <c:v>28-29</c:v>
                </c:pt>
                <c:pt idx="4">
                  <c:v>29-30</c:v>
                </c:pt>
              </c:strCache>
            </c:strRef>
          </c:cat>
          <c:val>
            <c:numRef>
              <c:f>Dashboard!$K$9:$O$9</c:f>
              <c:numCache>
                <c:formatCode>0%</c:formatCode>
                <c:ptCount val="5"/>
                <c:pt idx="0">
                  <c:v>0.23809523809523808</c:v>
                </c:pt>
                <c:pt idx="1">
                  <c:v>0.2785515320334262</c:v>
                </c:pt>
                <c:pt idx="2">
                  <c:v>0.20440251572327045</c:v>
                </c:pt>
                <c:pt idx="3">
                  <c:v>0.17064717182605094</c:v>
                </c:pt>
                <c:pt idx="4">
                  <c:v>0.15181418206697561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32-4612-87D5-A00650C12A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3877392"/>
        <c:axId val="693889392"/>
        <c:extLst/>
      </c:barChart>
      <c:catAx>
        <c:axId val="69387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89392"/>
        <c:crosses val="autoZero"/>
        <c:auto val="1"/>
        <c:lblAlgn val="ctr"/>
        <c:lblOffset val="100"/>
        <c:noMultiLvlLbl val="0"/>
      </c:catAx>
      <c:valAx>
        <c:axId val="693889392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7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140970</xdr:rowOff>
    </xdr:from>
    <xdr:to>
      <xdr:col>7</xdr:col>
      <xdr:colOff>471487</xdr:colOff>
      <xdr:row>41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BB9A7-3358-45A9-A816-29646C249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547687</xdr:colOff>
      <xdr:row>26</xdr:row>
      <xdr:rowOff>147635</xdr:rowOff>
    </xdr:from>
    <xdr:to>
      <xdr:col>13</xdr:col>
      <xdr:colOff>614362</xdr:colOff>
      <xdr:row>41</xdr:row>
      <xdr:rowOff>100011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37CC77-73D3-441E-A9B7-C4781221E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</xdr:row>
      <xdr:rowOff>9526</xdr:rowOff>
    </xdr:from>
    <xdr:to>
      <xdr:col>7</xdr:col>
      <xdr:colOff>485775</xdr:colOff>
      <xdr:row>23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3F2B5B-1470-49A8-8944-2C320CECB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342900</xdr:colOff>
      <xdr:row>44</xdr:row>
      <xdr:rowOff>171450</xdr:rowOff>
    </xdr:from>
    <xdr:to>
      <xdr:col>15</xdr:col>
      <xdr:colOff>22860</xdr:colOff>
      <xdr:row>57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596522-C9B5-4046-A14B-1603D03FA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6</xdr:row>
      <xdr:rowOff>158567</xdr:rowOff>
    </xdr:from>
    <xdr:to>
      <xdr:col>14</xdr:col>
      <xdr:colOff>279400</xdr:colOff>
      <xdr:row>23</xdr:row>
      <xdr:rowOff>64225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C836B4-02F4-4B50-B7F7-90A429ABB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kco-server1\BKCO-DataFolder\Clients%20Folder\Company\Project%20Report\12.%20Triguna%20Resorts%20&amp;%20Hospitality%20Pvt%20Ltd\Project%20Report%20-%20Triguna%20Resorts%20&amp;%20Hospitality.xlsx" TargetMode="External"/><Relationship Id="rId1" Type="http://schemas.openxmlformats.org/officeDocument/2006/relationships/externalLinkPath" Target="file:///\\bkco-server1\BKCO-DataFolder\Clients%20Folder\Company\Project%20Report\12.%20Triguna%20Resorts%20&amp;%20Hospitality%20Pvt%20Ltd\Project%20Report%20-%20Triguna%20Resorts%20&amp;%20Hospital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kco-server1\BKCO-DataFolder\Clients%20Folder\Company\SEMIS%20FOODS%20PRIVATE%20LIMITED\2025-26\Projections%20For%20Investors\SEMIS%20-%20Detailed%20Projections%20Report%20-%20Revised.xlsx" TargetMode="External"/><Relationship Id="rId1" Type="http://schemas.openxmlformats.org/officeDocument/2006/relationships/externalLinkPath" Target="file:///\\bkco-server1\BKCO-DataFolder\Clients%20Folder\Company\SEMIS%20FOODS%20PRIVATE%20LIMITED\2025-26\Projections%20For%20Investors\SEMIS%20-%20Detailed%20Projections%20Report%20-%20Revis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o10\Downloads\Financial%20Projection-%20JOMS-V.0.1.xlsx" TargetMode="External"/><Relationship Id="rId1" Type="http://schemas.openxmlformats.org/officeDocument/2006/relationships/externalLinkPath" Target="/Users/mso10/Downloads/Financial%20Projection-%20JOMS-V.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am"/>
      <sheetName val="Check List"/>
      <sheetName val="PAG-1"/>
      <sheetName val="Ratios"/>
      <sheetName val="Sum"/>
      <sheetName val="TF"/>
      <sheetName val="PAG-2"/>
      <sheetName val="Margin"/>
      <sheetName val="P&amp;L"/>
      <sheetName val="AR"/>
      <sheetName val="EC"/>
      <sheetName val="RM"/>
      <sheetName val="IE"/>
      <sheetName val="OIE"/>
      <sheetName val="BS"/>
      <sheetName val="CFS"/>
      <sheetName val="LRS"/>
      <sheetName val="DAS"/>
      <sheetName val="DSCR"/>
      <sheetName val="BCR"/>
      <sheetName val="PBP"/>
      <sheetName val="BEA"/>
      <sheetName val="Ass"/>
      <sheetName val="Con"/>
      <sheetName val="EC-S"/>
      <sheetName val="RM-S"/>
    </sheetNames>
    <sheetDataSet>
      <sheetData sheetId="0"/>
      <sheetData sheetId="1">
        <row r="27">
          <cell r="C27">
            <v>100000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R5" t="str">
            <v>2029-30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PAG-1"/>
      <sheetName val="Ratios"/>
      <sheetName val="ES"/>
      <sheetName val="PAG-2"/>
      <sheetName val="BS"/>
      <sheetName val="P&amp;L"/>
      <sheetName val="CFS"/>
      <sheetName val="DAS"/>
      <sheetName val="BEA"/>
      <sheetName val="LRS"/>
      <sheetName val="IE"/>
      <sheetName val="RFO"/>
      <sheetName val="MC"/>
      <sheetName val="EW"/>
      <sheetName val="SA"/>
      <sheetName val="DSCR"/>
      <sheetName val="BCR"/>
      <sheetName val="Ass"/>
      <sheetName val="Con"/>
      <sheetName val="SEMIS - Detailed Projections Re"/>
    </sheetNames>
    <sheetDataSet>
      <sheetData sheetId="0" refreshError="1">
        <row r="27">
          <cell r="C27" t="str">
            <v>Lakhs</v>
          </cell>
        </row>
        <row r="28">
          <cell r="C28">
            <v>100000</v>
          </cell>
        </row>
        <row r="29">
          <cell r="C29" t="str">
            <v>(₹ in Lakhs)</v>
          </cell>
        </row>
      </sheetData>
      <sheetData sheetId="1" refreshError="1"/>
      <sheetData sheetId="2" refreshError="1">
        <row r="4">
          <cell r="F4" t="str">
            <v>2025-26</v>
          </cell>
          <cell r="H4" t="str">
            <v>2026-27</v>
          </cell>
          <cell r="J4" t="str">
            <v>2027-28</v>
          </cell>
          <cell r="L4" t="str">
            <v>2028-29</v>
          </cell>
          <cell r="N4" t="str">
            <v>2029-30</v>
          </cell>
          <cell r="P4" t="str">
            <v>2030-31</v>
          </cell>
          <cell r="R4" t="str">
            <v>2031-32</v>
          </cell>
          <cell r="T4" t="str">
            <v>2032-33</v>
          </cell>
          <cell r="V4" t="str">
            <v>2033-34</v>
          </cell>
          <cell r="X4" t="str">
            <v>2034-35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"/>
      <sheetName val="Charts"/>
      <sheetName val="Dashboard"/>
      <sheetName val="Ratios"/>
      <sheetName val="Config"/>
      <sheetName val="Annual Forecast"/>
      <sheetName val="Monthly Forecast"/>
      <sheetName val="Marketing "/>
      <sheetName val="Assumptions"/>
      <sheetName val="Sales Forecast "/>
      <sheetName val="Capex"/>
      <sheetName val="Opex"/>
      <sheetName val="Depreciation"/>
      <sheetName val="HR - HO"/>
      <sheetName val="Debt Schedule"/>
      <sheetName val="Inv-AR-AP"/>
      <sheetName val="Valuation-DCF-Terminal Growth "/>
      <sheetName val="Valuation-RIM"/>
      <sheetName val="Valuation-VC"/>
    </sheetNames>
    <sheetDataSet>
      <sheetData sheetId="0" refreshError="1"/>
      <sheetData sheetId="1" refreshError="1"/>
      <sheetData sheetId="2">
        <row r="4">
          <cell r="D4" t="str">
            <v>Year-1</v>
          </cell>
          <cell r="E4" t="str">
            <v>Year-2</v>
          </cell>
          <cell r="F4" t="str">
            <v>Year-3</v>
          </cell>
          <cell r="G4" t="str">
            <v>Year-4</v>
          </cell>
          <cell r="H4" t="str">
            <v>Year-5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canvasbusinessmodel.com/blogs/competitors/slurrp-farm-competitive-landscape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5BB4-A4C9-46B9-A1C9-207C9109D5A1}">
  <sheetPr>
    <tabColor theme="3" tint="-0.499984740745262"/>
  </sheetPr>
  <dimension ref="A1:W54"/>
  <sheetViews>
    <sheetView showGridLines="0" zoomScaleNormal="100" workbookViewId="0">
      <selection activeCell="G48" sqref="G48:H48"/>
    </sheetView>
  </sheetViews>
  <sheetFormatPr defaultColWidth="9.109375" defaultRowHeight="14.4" x14ac:dyDescent="0.3"/>
  <cols>
    <col min="1" max="1" width="3.33203125" style="238" customWidth="1"/>
    <col min="2" max="2" width="9.109375" style="238"/>
    <col min="3" max="3" width="12.6640625" style="238" customWidth="1"/>
    <col min="4" max="4" width="9.109375" style="238"/>
    <col min="5" max="5" width="19.6640625" style="238" bestFit="1" customWidth="1"/>
    <col min="6" max="6" width="9.109375" style="238"/>
    <col min="7" max="7" width="14.33203125" style="238" customWidth="1"/>
    <col min="8" max="9" width="9.109375" style="238"/>
    <col min="10" max="10" width="14.33203125" style="238" bestFit="1" customWidth="1"/>
    <col min="11" max="12" width="9.109375" style="238"/>
    <col min="13" max="13" width="21.5546875" style="238" customWidth="1"/>
    <col min="14" max="14" width="14.6640625" style="238" bestFit="1" customWidth="1"/>
    <col min="15" max="18" width="15.6640625" style="238" bestFit="1" customWidth="1"/>
    <col min="19" max="16384" width="9.109375" style="238"/>
  </cols>
  <sheetData>
    <row r="1" spans="1:16" ht="3.75" customHeight="1" x14ac:dyDescent="0.3">
      <c r="L1" s="239"/>
      <c r="M1" s="239"/>
    </row>
    <row r="2" spans="1:16" ht="15" customHeight="1" x14ac:dyDescent="0.3">
      <c r="E2" s="418" t="s">
        <v>283</v>
      </c>
      <c r="F2" s="418"/>
      <c r="G2" s="418"/>
      <c r="H2" s="418"/>
      <c r="I2" s="418"/>
      <c r="J2" s="418"/>
      <c r="K2" s="418"/>
      <c r="L2" s="240" t="s">
        <v>284</v>
      </c>
      <c r="M2" s="240" t="s">
        <v>285</v>
      </c>
      <c r="N2" s="239"/>
      <c r="O2" s="241"/>
      <c r="P2" s="241"/>
    </row>
    <row r="3" spans="1:16" ht="15" customHeight="1" x14ac:dyDescent="0.3">
      <c r="E3" s="418"/>
      <c r="F3" s="418"/>
      <c r="G3" s="418"/>
      <c r="H3" s="418"/>
      <c r="I3" s="418"/>
      <c r="J3" s="418"/>
      <c r="K3" s="418"/>
      <c r="L3" s="240" t="s">
        <v>286</v>
      </c>
      <c r="M3" s="240" t="s">
        <v>287</v>
      </c>
      <c r="N3" s="239"/>
      <c r="O3" s="241"/>
      <c r="P3" s="241"/>
    </row>
    <row r="4" spans="1:16" ht="12.6" customHeight="1" x14ac:dyDescent="0.3">
      <c r="H4" s="241"/>
      <c r="I4" s="241"/>
      <c r="J4" s="241"/>
      <c r="K4" s="239"/>
      <c r="L4" s="240" t="s">
        <v>288</v>
      </c>
      <c r="M4" s="240" t="s">
        <v>289</v>
      </c>
      <c r="N4" s="239"/>
      <c r="O4" s="241"/>
      <c r="P4" s="241"/>
    </row>
    <row r="5" spans="1:16" ht="15" thickBot="1" x14ac:dyDescent="0.35">
      <c r="H5" s="241"/>
      <c r="I5" s="241"/>
      <c r="J5" s="241"/>
      <c r="K5" s="239"/>
      <c r="L5" s="240"/>
      <c r="M5" s="240"/>
      <c r="N5" s="239"/>
      <c r="O5" s="241"/>
      <c r="P5" s="241"/>
    </row>
    <row r="6" spans="1:16" ht="18" x14ac:dyDescent="0.35">
      <c r="E6" s="419" t="s">
        <v>290</v>
      </c>
      <c r="F6" s="419"/>
      <c r="G6" s="419"/>
      <c r="H6" s="419"/>
      <c r="I6" s="419"/>
      <c r="J6" s="419"/>
      <c r="K6" s="419"/>
      <c r="L6" s="240" t="s">
        <v>288</v>
      </c>
      <c r="M6" s="240" t="s">
        <v>289</v>
      </c>
      <c r="N6" s="239"/>
      <c r="O6" s="241"/>
      <c r="P6" s="241"/>
    </row>
    <row r="7" spans="1:16" x14ac:dyDescent="0.3">
      <c r="A7" s="240" t="s">
        <v>288</v>
      </c>
      <c r="B7" s="239"/>
      <c r="C7" s="241"/>
      <c r="D7" s="241"/>
      <c r="E7" s="240" t="s">
        <v>288</v>
      </c>
      <c r="F7" s="240" t="s">
        <v>289</v>
      </c>
      <c r="G7" s="239"/>
      <c r="H7" s="241"/>
      <c r="I7" s="240" t="s">
        <v>288</v>
      </c>
      <c r="J7" s="240" t="s">
        <v>289</v>
      </c>
      <c r="K7" s="239"/>
      <c r="L7" s="241"/>
      <c r="M7" s="241"/>
      <c r="O7" s="241"/>
      <c r="P7" s="241"/>
    </row>
    <row r="8" spans="1:16" x14ac:dyDescent="0.3">
      <c r="A8" s="240"/>
      <c r="B8" s="239"/>
      <c r="C8" s="241"/>
      <c r="D8" s="241"/>
      <c r="E8" s="240"/>
      <c r="F8" s="240"/>
      <c r="G8" s="239"/>
      <c r="H8" s="241"/>
      <c r="I8" s="240"/>
      <c r="J8" s="240"/>
      <c r="K8" s="239"/>
      <c r="L8" s="241"/>
      <c r="M8" s="241"/>
      <c r="O8" s="241"/>
      <c r="P8" s="241"/>
    </row>
    <row r="9" spans="1:16" x14ac:dyDescent="0.3">
      <c r="A9" s="240"/>
      <c r="B9" s="239"/>
      <c r="C9" s="241"/>
      <c r="D9" s="241"/>
      <c r="E9" s="240"/>
      <c r="F9" s="240"/>
      <c r="G9" s="239"/>
      <c r="H9" s="241"/>
      <c r="I9" s="240"/>
      <c r="J9" s="240"/>
      <c r="K9" s="239"/>
      <c r="L9" s="241"/>
      <c r="M9" s="241"/>
      <c r="O9" s="241"/>
      <c r="P9" s="241"/>
    </row>
    <row r="10" spans="1:16" x14ac:dyDescent="0.3">
      <c r="A10" s="240"/>
      <c r="B10" s="239"/>
      <c r="C10" s="241"/>
      <c r="D10" s="241"/>
      <c r="E10" s="240"/>
      <c r="F10" s="240"/>
      <c r="G10" s="239"/>
      <c r="H10" s="241"/>
      <c r="I10" s="240"/>
      <c r="J10" s="240"/>
      <c r="K10" s="239"/>
      <c r="L10" s="241"/>
      <c r="M10" s="241"/>
      <c r="O10" s="241"/>
      <c r="P10" s="241"/>
    </row>
    <row r="11" spans="1:16" x14ac:dyDescent="0.3">
      <c r="A11" s="240"/>
      <c r="B11" s="239"/>
      <c r="C11" s="241"/>
      <c r="D11" s="241"/>
      <c r="E11" s="240"/>
      <c r="F11" s="240"/>
      <c r="G11" s="239"/>
      <c r="H11" s="241"/>
      <c r="I11" s="240"/>
      <c r="J11" s="240"/>
      <c r="K11" s="239"/>
      <c r="L11" s="241"/>
      <c r="M11" s="241"/>
      <c r="O11" s="241"/>
      <c r="P11" s="241"/>
    </row>
    <row r="12" spans="1:16" x14ac:dyDescent="0.3">
      <c r="A12" s="240"/>
      <c r="B12" s="239"/>
      <c r="C12" s="241"/>
      <c r="D12" s="241"/>
      <c r="E12" s="240"/>
      <c r="F12" s="240"/>
      <c r="G12" s="239"/>
      <c r="H12" s="241"/>
      <c r="I12" s="240"/>
      <c r="J12" s="240"/>
      <c r="K12" s="239"/>
      <c r="L12" s="241"/>
      <c r="M12" s="241"/>
      <c r="O12" s="241"/>
      <c r="P12" s="241"/>
    </row>
    <row r="13" spans="1:16" x14ac:dyDescent="0.3">
      <c r="A13" s="240"/>
      <c r="B13" s="239"/>
      <c r="C13" s="241"/>
      <c r="D13" s="241"/>
      <c r="E13" s="240"/>
      <c r="F13" s="240"/>
      <c r="G13" s="239"/>
      <c r="H13" s="241"/>
      <c r="I13" s="240"/>
      <c r="J13" s="240"/>
      <c r="K13" s="239"/>
      <c r="L13" s="241"/>
      <c r="M13" s="241"/>
      <c r="O13" s="241"/>
      <c r="P13" s="241"/>
    </row>
    <row r="14" spans="1:16" x14ac:dyDescent="0.3">
      <c r="A14" s="240"/>
      <c r="B14" s="239"/>
      <c r="C14" s="241"/>
      <c r="D14" s="241"/>
      <c r="E14" s="240"/>
      <c r="F14" s="240"/>
      <c r="G14" s="239"/>
      <c r="H14" s="241"/>
      <c r="I14" s="240"/>
      <c r="J14" s="240"/>
      <c r="K14" s="239"/>
      <c r="L14" s="241"/>
      <c r="M14" s="241"/>
      <c r="O14" s="241"/>
      <c r="P14" s="241"/>
    </row>
    <row r="15" spans="1:16" x14ac:dyDescent="0.3">
      <c r="A15" s="240"/>
      <c r="B15" s="239"/>
      <c r="C15" s="241"/>
      <c r="D15" s="241"/>
      <c r="E15" s="240"/>
      <c r="F15" s="240"/>
      <c r="G15" s="239"/>
      <c r="H15" s="241"/>
      <c r="I15" s="240"/>
      <c r="J15" s="240"/>
      <c r="K15" s="239"/>
      <c r="L15" s="241"/>
      <c r="M15" s="241"/>
      <c r="O15" s="241"/>
      <c r="P15" s="241"/>
    </row>
    <row r="16" spans="1:16" x14ac:dyDescent="0.3">
      <c r="A16" s="240"/>
      <c r="B16" s="239"/>
      <c r="C16" s="241"/>
      <c r="D16" s="241"/>
      <c r="E16" s="240"/>
      <c r="F16" s="240"/>
      <c r="G16" s="239"/>
      <c r="H16" s="241"/>
      <c r="I16" s="240"/>
      <c r="J16" s="240"/>
      <c r="K16" s="239"/>
      <c r="L16" s="241"/>
      <c r="M16" s="241"/>
      <c r="O16" s="241"/>
      <c r="P16" s="241"/>
    </row>
    <row r="17" spans="1:23" x14ac:dyDescent="0.3">
      <c r="A17" s="240"/>
      <c r="B17" s="239"/>
      <c r="C17" s="241"/>
      <c r="D17" s="241"/>
      <c r="E17" s="240"/>
      <c r="F17" s="240"/>
      <c r="G17" s="239"/>
      <c r="H17" s="241"/>
      <c r="I17" s="240"/>
      <c r="J17" s="240"/>
      <c r="K17" s="239"/>
      <c r="L17" s="241"/>
      <c r="M17" s="241"/>
      <c r="O17" s="241"/>
      <c r="P17" s="241"/>
    </row>
    <row r="18" spans="1:23" x14ac:dyDescent="0.3">
      <c r="A18" s="240"/>
      <c r="B18" s="239"/>
      <c r="C18" s="241"/>
      <c r="D18" s="241"/>
      <c r="E18" s="240"/>
      <c r="F18" s="240"/>
      <c r="G18" s="239"/>
      <c r="H18" s="241"/>
      <c r="I18" s="240"/>
      <c r="J18" s="240"/>
      <c r="K18" s="239"/>
      <c r="L18" s="241"/>
      <c r="M18" s="241"/>
      <c r="O18" s="241"/>
      <c r="P18" s="241"/>
    </row>
    <row r="19" spans="1:23" x14ac:dyDescent="0.3">
      <c r="A19" s="240"/>
      <c r="B19" s="239"/>
      <c r="C19" s="241"/>
      <c r="D19" s="241"/>
      <c r="E19" s="240"/>
      <c r="F19" s="240"/>
      <c r="G19" s="239"/>
      <c r="H19" s="241"/>
      <c r="I19" s="240"/>
      <c r="J19" s="240"/>
      <c r="K19" s="239"/>
      <c r="L19" s="241"/>
      <c r="M19" s="241"/>
      <c r="O19" s="241"/>
      <c r="P19" s="241"/>
    </row>
    <row r="20" spans="1:23" x14ac:dyDescent="0.3">
      <c r="A20" s="240"/>
      <c r="B20" s="239"/>
      <c r="C20" s="241"/>
      <c r="D20" s="241"/>
      <c r="E20" s="240"/>
      <c r="F20" s="240"/>
      <c r="G20" s="239"/>
      <c r="H20" s="241"/>
      <c r="I20" s="240"/>
      <c r="J20" s="240"/>
      <c r="K20" s="239"/>
      <c r="L20" s="241"/>
      <c r="M20" s="241"/>
      <c r="O20" s="241"/>
      <c r="P20" s="241"/>
    </row>
    <row r="21" spans="1:23" x14ac:dyDescent="0.3">
      <c r="A21" s="240"/>
      <c r="B21" s="239"/>
      <c r="C21" s="241"/>
      <c r="D21" s="241"/>
      <c r="E21" s="240"/>
      <c r="F21" s="240"/>
      <c r="G21" s="239"/>
      <c r="H21" s="241"/>
      <c r="I21" s="240"/>
      <c r="J21" s="240"/>
      <c r="K21" s="239"/>
      <c r="L21" s="241"/>
      <c r="M21" s="241"/>
      <c r="O21" s="241"/>
      <c r="P21" s="241"/>
    </row>
    <row r="22" spans="1:23" x14ac:dyDescent="0.3">
      <c r="A22" s="240"/>
      <c r="B22" s="239"/>
      <c r="C22" s="241"/>
      <c r="D22" s="241"/>
      <c r="E22" s="240"/>
      <c r="F22" s="240"/>
      <c r="G22" s="239"/>
      <c r="H22" s="241"/>
      <c r="I22" s="240"/>
      <c r="J22" s="240"/>
      <c r="K22" s="239"/>
      <c r="L22" s="241"/>
      <c r="M22" s="241"/>
      <c r="O22" s="241"/>
      <c r="P22" s="241"/>
    </row>
    <row r="23" spans="1:23" x14ac:dyDescent="0.3">
      <c r="A23" s="240"/>
      <c r="B23" s="239"/>
      <c r="C23" s="241"/>
      <c r="D23" s="241"/>
      <c r="E23" s="240"/>
      <c r="F23" s="240"/>
      <c r="G23" s="239"/>
      <c r="H23" s="241"/>
      <c r="I23" s="240"/>
      <c r="J23" s="240"/>
      <c r="K23" s="239"/>
      <c r="L23" s="241"/>
      <c r="M23" s="241"/>
      <c r="O23" s="241"/>
      <c r="P23" s="241"/>
    </row>
    <row r="24" spans="1:23" x14ac:dyDescent="0.3">
      <c r="O24" s="241"/>
      <c r="P24" s="241"/>
    </row>
    <row r="25" spans="1:23" x14ac:dyDescent="0.3">
      <c r="O25" s="241"/>
      <c r="P25" s="241"/>
    </row>
    <row r="26" spans="1:23" ht="18" x14ac:dyDescent="0.35">
      <c r="E26" s="420" t="s">
        <v>291</v>
      </c>
      <c r="F26" s="420"/>
      <c r="G26" s="420"/>
      <c r="H26" s="420"/>
      <c r="I26" s="420"/>
      <c r="J26" s="420"/>
      <c r="K26" s="420"/>
      <c r="L26" s="241"/>
      <c r="M26" s="241"/>
      <c r="N26" s="241"/>
      <c r="O26" s="241"/>
      <c r="P26" s="241"/>
    </row>
    <row r="27" spans="1:23" x14ac:dyDescent="0.3">
      <c r="H27" s="241"/>
      <c r="I27" s="241"/>
      <c r="J27" s="241"/>
      <c r="K27" s="241"/>
      <c r="L27" s="241"/>
      <c r="M27" s="241"/>
      <c r="N27" s="241"/>
      <c r="O27" s="241"/>
      <c r="P27" s="241"/>
    </row>
    <row r="28" spans="1:23" x14ac:dyDescent="0.3">
      <c r="B28" s="421"/>
      <c r="C28" s="421"/>
      <c r="D28" s="421"/>
      <c r="E28" s="422"/>
      <c r="F28" s="241"/>
      <c r="K28" s="242"/>
      <c r="L28" s="241"/>
      <c r="M28" s="241"/>
      <c r="N28" s="241"/>
      <c r="O28" s="241"/>
      <c r="P28" s="241"/>
    </row>
    <row r="29" spans="1:23" ht="15" thickBot="1" x14ac:dyDescent="0.35">
      <c r="B29" s="421"/>
      <c r="C29" s="421"/>
      <c r="D29" s="421"/>
      <c r="E29" s="422"/>
      <c r="G29" s="417"/>
      <c r="H29" s="417"/>
      <c r="I29" s="417"/>
      <c r="J29" s="417"/>
      <c r="K29" s="241"/>
      <c r="L29" s="241"/>
      <c r="M29" s="241"/>
      <c r="N29" s="241"/>
      <c r="O29" s="241"/>
      <c r="P29" s="241"/>
    </row>
    <row r="30" spans="1:23" x14ac:dyDescent="0.3">
      <c r="B30" s="417"/>
      <c r="C30" s="417"/>
      <c r="D30" s="417"/>
      <c r="E30" s="243"/>
      <c r="G30" s="417"/>
      <c r="H30" s="417"/>
      <c r="I30" s="244"/>
      <c r="J30" s="243"/>
      <c r="K30" s="241"/>
      <c r="L30" s="241"/>
      <c r="R30" s="245" t="str">
        <f>E26</f>
        <v>Cash Analysis &amp; Balance Sheet</v>
      </c>
      <c r="S30" s="246" t="str">
        <f>Dashboard!D5</f>
        <v>25-26</v>
      </c>
      <c r="T30" s="246" t="str">
        <f>Dashboard!E5</f>
        <v>26-27</v>
      </c>
      <c r="U30" s="246" t="str">
        <f>Dashboard!F5</f>
        <v>27-28</v>
      </c>
      <c r="V30" s="246" t="str">
        <f>Dashboard!G5</f>
        <v>28-29</v>
      </c>
      <c r="W30" s="246" t="str">
        <f>Dashboard!H5</f>
        <v>29-30</v>
      </c>
    </row>
    <row r="31" spans="1:23" x14ac:dyDescent="0.3">
      <c r="B31" s="417"/>
      <c r="C31" s="417"/>
      <c r="D31" s="417"/>
      <c r="E31" s="247"/>
      <c r="G31" s="417"/>
      <c r="H31" s="417"/>
      <c r="I31" s="244"/>
      <c r="J31" s="243"/>
      <c r="K31" s="241"/>
      <c r="L31" s="241"/>
      <c r="R31" s="248" t="s">
        <v>292</v>
      </c>
      <c r="S31" s="249">
        <f>Dashboard!D29</f>
        <v>2737.644176632436</v>
      </c>
      <c r="T31" s="249">
        <f>Dashboard!E29</f>
        <v>-36.440991663601039</v>
      </c>
      <c r="U31" s="249">
        <f>Dashboard!F29</f>
        <v>352.59650470898947</v>
      </c>
      <c r="V31" s="249">
        <f>Dashboard!G29</f>
        <v>677.84775538167048</v>
      </c>
      <c r="W31" s="249">
        <f>Dashboard!H29</f>
        <v>1052.707319919188</v>
      </c>
    </row>
    <row r="32" spans="1:23" ht="15" thickBot="1" x14ac:dyDescent="0.35">
      <c r="G32" s="423"/>
      <c r="H32" s="423"/>
      <c r="I32" s="250"/>
      <c r="J32" s="243"/>
      <c r="K32" s="241"/>
      <c r="L32" s="241"/>
      <c r="R32" s="251" t="s">
        <v>293</v>
      </c>
      <c r="S32" s="249">
        <f>Dashboard!D30</f>
        <v>2738.0138745324361</v>
      </c>
      <c r="T32" s="249">
        <f>Dashboard!E30</f>
        <v>2701.5728828688352</v>
      </c>
      <c r="U32" s="249">
        <f>Dashboard!F30</f>
        <v>3054.1693875778246</v>
      </c>
      <c r="V32" s="249">
        <f>Dashboard!G30</f>
        <v>3732.0171429594952</v>
      </c>
      <c r="W32" s="249">
        <f>Dashboard!H30</f>
        <v>4784.724462878683</v>
      </c>
    </row>
    <row r="33" spans="2:16" ht="15" thickTop="1" x14ac:dyDescent="0.3">
      <c r="G33" s="417"/>
      <c r="H33" s="417"/>
      <c r="I33" s="244"/>
      <c r="J33" s="243"/>
      <c r="K33" s="241"/>
      <c r="L33" s="241"/>
      <c r="M33" s="241"/>
      <c r="N33" s="241"/>
      <c r="O33" s="241"/>
      <c r="P33" s="241"/>
    </row>
    <row r="34" spans="2:16" x14ac:dyDescent="0.3">
      <c r="G34" s="417"/>
      <c r="H34" s="417"/>
      <c r="I34" s="244"/>
      <c r="J34" s="243"/>
      <c r="K34" s="241"/>
      <c r="L34" s="241"/>
      <c r="M34" s="241"/>
      <c r="N34" s="241"/>
      <c r="O34" s="241"/>
      <c r="P34" s="241"/>
    </row>
    <row r="35" spans="2:16" x14ac:dyDescent="0.3">
      <c r="H35" s="241"/>
      <c r="I35" s="241"/>
      <c r="J35" s="241"/>
      <c r="K35" s="241"/>
      <c r="L35" s="241"/>
      <c r="M35" s="241"/>
      <c r="N35" s="241"/>
      <c r="O35" s="241"/>
      <c r="P35" s="241"/>
    </row>
    <row r="36" spans="2:16" x14ac:dyDescent="0.3">
      <c r="H36" s="241"/>
      <c r="I36" s="241"/>
      <c r="J36" s="241"/>
      <c r="K36" s="241"/>
      <c r="L36" s="241"/>
      <c r="M36" s="241"/>
      <c r="N36" s="241"/>
      <c r="O36" s="241"/>
      <c r="P36" s="241"/>
    </row>
    <row r="37" spans="2:16" x14ac:dyDescent="0.3">
      <c r="H37" s="241"/>
      <c r="I37" s="241"/>
      <c r="J37" s="241"/>
      <c r="K37" s="241"/>
      <c r="L37" s="241"/>
      <c r="M37" s="241"/>
      <c r="N37" s="241"/>
      <c r="O37" s="241"/>
      <c r="P37" s="241"/>
    </row>
    <row r="44" spans="2:16" ht="18" x14ac:dyDescent="0.35">
      <c r="E44" s="420" t="s">
        <v>294</v>
      </c>
      <c r="F44" s="420"/>
      <c r="G44" s="420"/>
      <c r="H44" s="420"/>
      <c r="I44" s="420"/>
      <c r="J44" s="420"/>
      <c r="K44" s="420"/>
      <c r="L44" s="241"/>
      <c r="M44" s="241"/>
      <c r="N44" s="241"/>
      <c r="O44" s="241"/>
      <c r="P44" s="241"/>
    </row>
    <row r="45" spans="2:16" ht="15" thickBot="1" x14ac:dyDescent="0.35">
      <c r="H45" s="241"/>
      <c r="I45" s="241"/>
      <c r="J45" s="241"/>
      <c r="K45" s="241"/>
      <c r="L45" s="241"/>
      <c r="M45" s="241"/>
      <c r="N45" s="241"/>
      <c r="O45" s="241"/>
      <c r="P45" s="241"/>
    </row>
    <row r="46" spans="2:16" ht="14.7" customHeight="1" thickTop="1" thickBot="1" x14ac:dyDescent="0.35">
      <c r="B46" s="424" t="s">
        <v>295</v>
      </c>
      <c r="C46" s="424"/>
      <c r="D46" s="425"/>
      <c r="E46" s="292">
        <f>Config!C30</f>
        <v>300</v>
      </c>
      <c r="F46" s="241"/>
      <c r="G46" s="252" t="s">
        <v>296</v>
      </c>
      <c r="H46" s="253"/>
      <c r="I46" s="253"/>
      <c r="J46" s="254"/>
      <c r="K46" s="242"/>
      <c r="L46" s="241"/>
      <c r="M46" s="241"/>
      <c r="N46" s="241"/>
      <c r="O46" s="241"/>
      <c r="P46" s="241"/>
    </row>
    <row r="47" spans="2:16" ht="15.6" thickTop="1" thickBot="1" x14ac:dyDescent="0.35">
      <c r="B47" s="424" t="s">
        <v>297</v>
      </c>
      <c r="C47" s="424"/>
      <c r="D47" s="425"/>
      <c r="E47" s="292">
        <f>Dashboard!D36</f>
        <v>2724.0293510840038</v>
      </c>
      <c r="G47" s="426"/>
      <c r="H47" s="427"/>
      <c r="I47" s="255"/>
      <c r="J47" s="256">
        <f>$E$46*I47</f>
        <v>0</v>
      </c>
      <c r="K47" s="241"/>
      <c r="L47" s="241"/>
      <c r="M47" s="241"/>
      <c r="N47" s="241"/>
      <c r="O47" s="241"/>
      <c r="P47" s="241"/>
    </row>
    <row r="48" spans="2:16" ht="15.6" thickTop="1" thickBot="1" x14ac:dyDescent="0.35">
      <c r="B48" s="424" t="s">
        <v>298</v>
      </c>
      <c r="C48" s="424"/>
      <c r="D48" s="425"/>
      <c r="E48" s="257">
        <f>E46/E47</f>
        <v>0.11013097192973255</v>
      </c>
      <c r="G48" s="428"/>
      <c r="H48" s="429"/>
      <c r="I48" s="258"/>
      <c r="J48" s="259">
        <f t="shared" ref="J48:J51" si="0">$E$46*I48</f>
        <v>0</v>
      </c>
      <c r="K48" s="241"/>
      <c r="L48" s="241"/>
      <c r="M48" s="241"/>
      <c r="N48" s="241"/>
      <c r="O48" s="241"/>
      <c r="P48" s="241"/>
    </row>
    <row r="49" spans="5:16" ht="15" thickTop="1" x14ac:dyDescent="0.3">
      <c r="E49" s="260"/>
      <c r="G49" s="430"/>
      <c r="H49" s="431"/>
      <c r="I49" s="261"/>
      <c r="J49" s="259">
        <f t="shared" si="0"/>
        <v>0</v>
      </c>
      <c r="K49" s="241"/>
      <c r="L49" s="241"/>
      <c r="M49" s="241"/>
      <c r="N49" s="241"/>
      <c r="O49" s="241"/>
      <c r="P49" s="241"/>
    </row>
    <row r="50" spans="5:16" x14ac:dyDescent="0.3">
      <c r="E50" s="262"/>
      <c r="G50" s="432"/>
      <c r="H50" s="433"/>
      <c r="I50" s="263"/>
      <c r="J50" s="259">
        <f t="shared" si="0"/>
        <v>0</v>
      </c>
      <c r="K50" s="241"/>
      <c r="L50" s="241"/>
      <c r="M50" s="241"/>
      <c r="N50" s="241"/>
      <c r="O50" s="241"/>
      <c r="P50" s="241"/>
    </row>
    <row r="51" spans="5:16" ht="15" thickBot="1" x14ac:dyDescent="0.35">
      <c r="G51" s="434"/>
      <c r="H51" s="435"/>
      <c r="I51" s="264"/>
      <c r="J51" s="265">
        <f t="shared" si="0"/>
        <v>0</v>
      </c>
      <c r="K51" s="241"/>
      <c r="L51" s="241"/>
      <c r="M51" s="241"/>
      <c r="N51" s="241"/>
      <c r="O51" s="241"/>
      <c r="P51" s="241"/>
    </row>
    <row r="52" spans="5:16" x14ac:dyDescent="0.3">
      <c r="H52" s="241"/>
      <c r="I52" s="241"/>
      <c r="J52" s="241"/>
      <c r="K52" s="241"/>
      <c r="L52" s="241"/>
      <c r="M52" s="241"/>
      <c r="N52" s="241"/>
      <c r="O52" s="241"/>
      <c r="P52" s="241"/>
    </row>
    <row r="53" spans="5:16" x14ac:dyDescent="0.3">
      <c r="H53" s="241"/>
      <c r="I53" s="241"/>
      <c r="J53" s="241"/>
      <c r="K53" s="241"/>
      <c r="L53" s="241"/>
      <c r="M53" s="241"/>
      <c r="N53" s="241"/>
      <c r="O53" s="241"/>
      <c r="P53" s="241"/>
    </row>
    <row r="54" spans="5:16" x14ac:dyDescent="0.3">
      <c r="H54" s="241"/>
      <c r="I54" s="241"/>
      <c r="J54" s="241"/>
      <c r="K54" s="241"/>
      <c r="L54" s="241"/>
      <c r="M54" s="241"/>
      <c r="N54" s="241"/>
      <c r="O54" s="241"/>
      <c r="P54" s="241"/>
    </row>
  </sheetData>
  <mergeCells count="22">
    <mergeCell ref="B48:D48"/>
    <mergeCell ref="G48:H48"/>
    <mergeCell ref="G49:H49"/>
    <mergeCell ref="G50:H50"/>
    <mergeCell ref="G51:H51"/>
    <mergeCell ref="G34:H34"/>
    <mergeCell ref="E44:K44"/>
    <mergeCell ref="B46:D46"/>
    <mergeCell ref="B47:D47"/>
    <mergeCell ref="G47:H47"/>
    <mergeCell ref="G33:H33"/>
    <mergeCell ref="E2:K3"/>
    <mergeCell ref="E6:K6"/>
    <mergeCell ref="E26:K26"/>
    <mergeCell ref="B28:D29"/>
    <mergeCell ref="E28:E29"/>
    <mergeCell ref="G29:J29"/>
    <mergeCell ref="B30:D30"/>
    <mergeCell ref="G30:H30"/>
    <mergeCell ref="B31:D31"/>
    <mergeCell ref="G31:H31"/>
    <mergeCell ref="G32:H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4CF6-7D1E-4C3E-8F4E-7870A7BCA7CD}">
  <dimension ref="B2:T45"/>
  <sheetViews>
    <sheetView showGridLines="0" workbookViewId="0">
      <selection activeCell="O1" sqref="O1"/>
    </sheetView>
  </sheetViews>
  <sheetFormatPr defaultRowHeight="14.4" x14ac:dyDescent="0.3"/>
  <cols>
    <col min="1" max="1" width="3.6640625" customWidth="1"/>
    <col min="2" max="2" width="29" style="146" customWidth="1"/>
    <col min="3" max="3" width="15.109375" customWidth="1"/>
    <col min="4" max="4" width="19.21875" customWidth="1"/>
    <col min="5" max="5" width="10.6640625" bestFit="1" customWidth="1"/>
    <col min="6" max="7" width="12.33203125" bestFit="1" customWidth="1"/>
    <col min="8" max="8" width="13.33203125" bestFit="1" customWidth="1"/>
    <col min="9" max="9" width="5.6640625" customWidth="1"/>
    <col min="10" max="10" width="27" customWidth="1"/>
    <col min="11" max="15" width="7.88671875" style="188" bestFit="1" customWidth="1"/>
  </cols>
  <sheetData>
    <row r="2" spans="2:20" ht="33.6" customHeight="1" x14ac:dyDescent="0.3">
      <c r="B2" s="184" t="s">
        <v>299</v>
      </c>
      <c r="C2" s="185"/>
      <c r="D2" s="185"/>
      <c r="E2" s="185"/>
      <c r="F2" s="185"/>
      <c r="G2" s="185"/>
      <c r="H2" s="185"/>
      <c r="I2" s="185"/>
      <c r="J2" s="186"/>
      <c r="K2" s="187"/>
      <c r="L2" s="187"/>
      <c r="M2" s="187"/>
      <c r="N2" s="187"/>
    </row>
    <row r="3" spans="2:20" x14ac:dyDescent="0.3">
      <c r="B3" s="189"/>
      <c r="C3" s="190"/>
      <c r="D3" s="190"/>
      <c r="E3" s="190"/>
      <c r="F3" s="190"/>
      <c r="G3" s="190"/>
      <c r="H3" s="190"/>
      <c r="I3" s="190"/>
      <c r="J3" s="186"/>
      <c r="K3" s="187"/>
      <c r="L3" s="187"/>
      <c r="M3" s="187"/>
      <c r="N3" s="187"/>
    </row>
    <row r="4" spans="2:20" x14ac:dyDescent="0.3">
      <c r="B4" s="268" t="s">
        <v>308</v>
      </c>
      <c r="C4" s="190"/>
      <c r="D4" s="190"/>
      <c r="E4" s="190"/>
      <c r="F4" s="190"/>
      <c r="G4" s="190"/>
      <c r="H4" s="190"/>
      <c r="I4" s="190"/>
      <c r="J4" s="186"/>
      <c r="K4" s="187"/>
      <c r="L4" s="187"/>
      <c r="M4" s="187"/>
      <c r="N4" s="187"/>
    </row>
    <row r="5" spans="2:20" x14ac:dyDescent="0.3">
      <c r="B5" s="191" t="s">
        <v>260</v>
      </c>
      <c r="C5" s="191"/>
      <c r="D5" s="192" t="s">
        <v>300</v>
      </c>
      <c r="E5" s="192" t="s">
        <v>301</v>
      </c>
      <c r="F5" s="192" t="s">
        <v>302</v>
      </c>
      <c r="G5" s="192" t="s">
        <v>304</v>
      </c>
      <c r="H5" s="192" t="s">
        <v>303</v>
      </c>
      <c r="I5" s="193"/>
      <c r="J5" s="192" t="s">
        <v>261</v>
      </c>
      <c r="K5" s="194" t="str">
        <f>D5</f>
        <v>25-26</v>
      </c>
      <c r="L5" s="194" t="str">
        <f>E5</f>
        <v>26-27</v>
      </c>
      <c r="M5" s="194" t="str">
        <f>F5</f>
        <v>27-28</v>
      </c>
      <c r="N5" s="194" t="str">
        <f>G5</f>
        <v>28-29</v>
      </c>
      <c r="O5" s="194" t="str">
        <f>H5</f>
        <v>29-30</v>
      </c>
    </row>
    <row r="6" spans="2:20" x14ac:dyDescent="0.3">
      <c r="B6" s="195" t="str">
        <f>"Revenue from - " &amp;'P&amp;L'!D9</f>
        <v>Revenue from - Corporate Sales</v>
      </c>
      <c r="C6" s="196"/>
      <c r="D6" s="266">
        <f>'P&amp;L'!F9</f>
        <v>135</v>
      </c>
      <c r="E6" s="266">
        <f>'P&amp;L'!G9</f>
        <v>162</v>
      </c>
      <c r="F6" s="266">
        <f>'P&amp;L'!H9</f>
        <v>202.5</v>
      </c>
      <c r="G6" s="266">
        <f>'P&amp;L'!I9</f>
        <v>253.125</v>
      </c>
      <c r="H6" s="266">
        <f>'P&amp;L'!J9</f>
        <v>316.40625</v>
      </c>
      <c r="I6" s="197"/>
      <c r="J6" s="195" t="str">
        <f>B6</f>
        <v>Revenue from - Corporate Sales</v>
      </c>
      <c r="K6" s="198">
        <f>D6/$D$10</f>
        <v>0.21428571428571427</v>
      </c>
      <c r="L6" s="198">
        <f>E6/$E$10</f>
        <v>7.5208913649025072E-2</v>
      </c>
      <c r="M6" s="198">
        <f>F6/$F$10</f>
        <v>5.3066037735849059E-2</v>
      </c>
      <c r="N6" s="198">
        <f>G6/$G$10</f>
        <v>4.2598683795334456E-2</v>
      </c>
      <c r="O6" s="198">
        <f>H6/$H$10</f>
        <v>3.6439808864079049E-2</v>
      </c>
      <c r="P6" s="199"/>
      <c r="Q6" s="199"/>
      <c r="R6" s="199"/>
      <c r="S6" s="199"/>
      <c r="T6" s="199"/>
    </row>
    <row r="7" spans="2:20" x14ac:dyDescent="0.3">
      <c r="B7" s="195" t="str">
        <f>"Revenue from - " &amp;'P&amp;L'!D11</f>
        <v>Revenue from - Millet Cafeteria</v>
      </c>
      <c r="C7" s="196"/>
      <c r="D7" s="266">
        <f>'P&amp;L'!F11</f>
        <v>270</v>
      </c>
      <c r="E7" s="266">
        <f>'P&amp;L'!G11</f>
        <v>792.00000000000011</v>
      </c>
      <c r="F7" s="266">
        <f>'P&amp;L'!H11</f>
        <v>1633.5000000000002</v>
      </c>
      <c r="G7" s="266">
        <f>'P&amp;L'!I11</f>
        <v>2874.9600000000009</v>
      </c>
      <c r="H7" s="266">
        <f>'P&amp;L'!J11</f>
        <v>4348.3770000000022</v>
      </c>
      <c r="I7" s="197"/>
      <c r="J7" s="195" t="str">
        <f>B7</f>
        <v>Revenue from - Millet Cafeteria</v>
      </c>
      <c r="K7" s="198">
        <f>D7/$D$10</f>
        <v>0.42857142857142855</v>
      </c>
      <c r="L7" s="198">
        <f>E7/$E$10</f>
        <v>0.36768802228412262</v>
      </c>
      <c r="M7" s="198">
        <f>F7/$F$10</f>
        <v>0.42806603773584911</v>
      </c>
      <c r="N7" s="198">
        <f>G7/$G$10</f>
        <v>0.48383017072290291</v>
      </c>
      <c r="O7" s="198">
        <f>H7/$H$10</f>
        <v>0.50079297342880402</v>
      </c>
      <c r="P7" s="199"/>
      <c r="Q7" s="199"/>
      <c r="R7" s="199"/>
      <c r="S7" s="199"/>
      <c r="T7" s="199"/>
    </row>
    <row r="8" spans="2:20" x14ac:dyDescent="0.3">
      <c r="B8" s="195" t="str">
        <f>"Revenue from - " &amp;'P&amp;L'!D13</f>
        <v>Revenue from - Retail Market Sales</v>
      </c>
      <c r="C8" s="196"/>
      <c r="D8" s="266">
        <f>'P&amp;L'!F13</f>
        <v>75</v>
      </c>
      <c r="E8" s="266">
        <f>'P&amp;L'!G13</f>
        <v>600</v>
      </c>
      <c r="F8" s="266">
        <f>'P&amp;L'!H13</f>
        <v>1200</v>
      </c>
      <c r="G8" s="266">
        <f>'P&amp;L'!I13</f>
        <v>1800</v>
      </c>
      <c r="H8" s="266">
        <f>'P&amp;L'!J13</f>
        <v>2700</v>
      </c>
      <c r="I8" s="197"/>
      <c r="J8" s="195" t="str">
        <f>B8</f>
        <v>Revenue from - Retail Market Sales</v>
      </c>
      <c r="K8" s="198">
        <f>D8/$D$10</f>
        <v>0.11904761904761904</v>
      </c>
      <c r="L8" s="198">
        <f>E8/$E$10</f>
        <v>0.2785515320334262</v>
      </c>
      <c r="M8" s="198">
        <f>F8/$F$10</f>
        <v>0.31446540880503143</v>
      </c>
      <c r="N8" s="198">
        <f>G8/$G$10</f>
        <v>0.30292397365571172</v>
      </c>
      <c r="O8" s="198">
        <f>H8/$H$10</f>
        <v>0.31095303564014121</v>
      </c>
      <c r="P8" s="199"/>
      <c r="Q8" s="199"/>
      <c r="R8" s="199"/>
      <c r="S8" s="199"/>
      <c r="T8" s="199"/>
    </row>
    <row r="9" spans="2:20" x14ac:dyDescent="0.3">
      <c r="B9" s="195" t="str">
        <f>"Revenue from - " &amp;'P&amp;L'!D15</f>
        <v>Revenue from - Export Sales</v>
      </c>
      <c r="C9" s="196"/>
      <c r="D9" s="266">
        <f>'P&amp;L'!F15</f>
        <v>150</v>
      </c>
      <c r="E9" s="266">
        <f>'P&amp;L'!G15</f>
        <v>600</v>
      </c>
      <c r="F9" s="266">
        <f>'P&amp;L'!H15</f>
        <v>780</v>
      </c>
      <c r="G9" s="266">
        <f>'P&amp;L'!I15</f>
        <v>1014</v>
      </c>
      <c r="H9" s="266">
        <f>'P&amp;L'!J15</f>
        <v>1318.2</v>
      </c>
      <c r="I9" s="197"/>
      <c r="J9" s="195" t="str">
        <f>B9</f>
        <v>Revenue from - Export Sales</v>
      </c>
      <c r="K9" s="198">
        <f>D9/$D$10</f>
        <v>0.23809523809523808</v>
      </c>
      <c r="L9" s="198">
        <f>E9/$E$10</f>
        <v>0.2785515320334262</v>
      </c>
      <c r="M9" s="198">
        <f>F9/$F$10</f>
        <v>0.20440251572327045</v>
      </c>
      <c r="N9" s="198">
        <f>G9/$G$10</f>
        <v>0.17064717182605094</v>
      </c>
      <c r="O9" s="198">
        <f>H9/$H$10</f>
        <v>0.15181418206697561</v>
      </c>
      <c r="P9" s="199"/>
      <c r="Q9" s="199"/>
      <c r="R9" s="199"/>
      <c r="S9" s="199"/>
      <c r="T9" s="199"/>
    </row>
    <row r="10" spans="2:20" x14ac:dyDescent="0.3">
      <c r="B10" s="200" t="s">
        <v>262</v>
      </c>
      <c r="C10" s="201"/>
      <c r="D10" s="269">
        <f>D6+D7+D8+D9</f>
        <v>630</v>
      </c>
      <c r="E10" s="269">
        <f>E6+E7+E8+E9</f>
        <v>2154</v>
      </c>
      <c r="F10" s="269">
        <f>F6+F7+F8+F9</f>
        <v>3816</v>
      </c>
      <c r="G10" s="269">
        <f>G6+G7+G8+G9</f>
        <v>5942.0850000000009</v>
      </c>
      <c r="H10" s="269">
        <f>H6+H7+H8+H9</f>
        <v>8682.983250000003</v>
      </c>
      <c r="I10" s="197"/>
      <c r="J10" s="201" t="str">
        <f>B10</f>
        <v>Total Revenue</v>
      </c>
      <c r="K10" s="202">
        <f>SUM(K6:K9)</f>
        <v>1</v>
      </c>
      <c r="L10" s="202">
        <f>SUM(L6:L9)</f>
        <v>1</v>
      </c>
      <c r="M10" s="202">
        <f>SUM(M6:M9)</f>
        <v>1</v>
      </c>
      <c r="N10" s="202">
        <f>SUM(N6:N9)</f>
        <v>1</v>
      </c>
      <c r="O10" s="202">
        <f>SUM(O6:O9)</f>
        <v>0.99999999999999989</v>
      </c>
      <c r="P10" s="203"/>
      <c r="Q10" s="203"/>
      <c r="R10" s="203"/>
      <c r="S10" s="203"/>
      <c r="T10" s="203"/>
    </row>
    <row r="11" spans="2:20" x14ac:dyDescent="0.3">
      <c r="B11" s="200" t="s">
        <v>263</v>
      </c>
      <c r="C11" s="201"/>
      <c r="D11" s="394">
        <f>K22</f>
        <v>-5.1137553862917372E-2</v>
      </c>
      <c r="E11" s="204">
        <f>L22</f>
        <v>0.14242166588911082</v>
      </c>
      <c r="F11" s="204">
        <f>M22</f>
        <v>0.14888080006888302</v>
      </c>
      <c r="G11" s="204">
        <f>N22</f>
        <v>0.14098645160930762</v>
      </c>
      <c r="H11" s="204">
        <f t="shared" ref="H11" si="0">O22</f>
        <v>0.21307386057500019</v>
      </c>
      <c r="J11" s="186"/>
      <c r="O11" s="205"/>
      <c r="P11" s="203"/>
      <c r="Q11" s="203"/>
      <c r="R11" s="203"/>
      <c r="S11" s="203"/>
      <c r="T11" s="203"/>
    </row>
    <row r="12" spans="2:20" x14ac:dyDescent="0.3">
      <c r="B12"/>
      <c r="J12" s="186"/>
      <c r="O12" s="205"/>
      <c r="P12" s="203"/>
      <c r="Q12" s="203"/>
      <c r="R12" s="203"/>
      <c r="S12" s="203"/>
      <c r="T12" s="203"/>
    </row>
    <row r="13" spans="2:20" x14ac:dyDescent="0.3">
      <c r="B13" s="206" t="s">
        <v>264</v>
      </c>
      <c r="C13" s="207"/>
      <c r="D13" s="208" t="str">
        <f>D5</f>
        <v>25-26</v>
      </c>
      <c r="E13" s="208" t="str">
        <f>E5</f>
        <v>26-27</v>
      </c>
      <c r="F13" s="208" t="str">
        <f>F5</f>
        <v>27-28</v>
      </c>
      <c r="G13" s="208" t="str">
        <f>G5</f>
        <v>28-29</v>
      </c>
      <c r="H13" s="208" t="str">
        <f>H5</f>
        <v>29-30</v>
      </c>
      <c r="I13" s="209"/>
      <c r="J13" s="206" t="s">
        <v>264</v>
      </c>
      <c r="K13" s="194" t="str">
        <f>D13</f>
        <v>25-26</v>
      </c>
      <c r="L13" s="194" t="str">
        <f>E13</f>
        <v>26-27</v>
      </c>
      <c r="M13" s="194" t="str">
        <f>F13</f>
        <v>27-28</v>
      </c>
      <c r="N13" s="194" t="str">
        <f>G13</f>
        <v>28-29</v>
      </c>
      <c r="O13" s="194" t="str">
        <f>H13</f>
        <v>29-30</v>
      </c>
      <c r="P13" s="203"/>
      <c r="Q13" s="203"/>
      <c r="R13" s="203"/>
      <c r="S13" s="203"/>
      <c r="T13" s="203"/>
    </row>
    <row r="14" spans="2:20" x14ac:dyDescent="0.3">
      <c r="B14" s="210" t="s">
        <v>265</v>
      </c>
      <c r="C14" s="211"/>
      <c r="D14" s="266">
        <f>'P&amp;L'!F7</f>
        <v>630</v>
      </c>
      <c r="E14" s="266">
        <f>'P&amp;L'!G7</f>
        <v>2154</v>
      </c>
      <c r="F14" s="266">
        <f>'P&amp;L'!H7</f>
        <v>3816</v>
      </c>
      <c r="G14" s="266">
        <f>'P&amp;L'!I7</f>
        <v>5942.0850000000009</v>
      </c>
      <c r="H14" s="266">
        <f>'P&amp;L'!J7</f>
        <v>8682.983250000003</v>
      </c>
      <c r="I14" s="209"/>
      <c r="J14" s="210" t="str">
        <f t="shared" ref="J14:J22" si="1">B14</f>
        <v>Net Revenue</v>
      </c>
      <c r="K14" s="212">
        <f t="shared" ref="K14:K22" si="2">D14/D$14</f>
        <v>1</v>
      </c>
      <c r="L14" s="212">
        <f t="shared" ref="L14:L22" si="3">E14/E$14</f>
        <v>1</v>
      </c>
      <c r="M14" s="212">
        <f t="shared" ref="M14:M22" si="4">F14/F$14</f>
        <v>1</v>
      </c>
      <c r="N14" s="212">
        <f t="shared" ref="N14:N22" si="5">G14/G$14</f>
        <v>1</v>
      </c>
      <c r="O14" s="212">
        <f t="shared" ref="O14:O22" si="6">H14/H$14</f>
        <v>1</v>
      </c>
      <c r="P14" s="203"/>
      <c r="Q14" s="203"/>
      <c r="R14" s="203"/>
      <c r="S14" s="203"/>
      <c r="T14" s="203"/>
    </row>
    <row r="15" spans="2:20" x14ac:dyDescent="0.3">
      <c r="B15" s="210" t="s">
        <v>266</v>
      </c>
      <c r="C15" s="211"/>
      <c r="D15" s="266">
        <f>'P&amp;L'!F17</f>
        <v>272.39999999999998</v>
      </c>
      <c r="E15" s="266">
        <f>'P&amp;L'!G17</f>
        <v>1088.94</v>
      </c>
      <c r="F15" s="266">
        <f>'P&amp;L'!H17</f>
        <v>1818.6450000000002</v>
      </c>
      <c r="G15" s="266">
        <f>'P&amp;L'!I17</f>
        <v>2682.0049500000005</v>
      </c>
      <c r="H15" s="266">
        <f>'P&amp;L'!J17</f>
        <v>3850.5811275000005</v>
      </c>
      <c r="I15" s="209"/>
      <c r="J15" s="210" t="str">
        <f t="shared" si="1"/>
        <v>Direct Cost</v>
      </c>
      <c r="K15" s="212">
        <f t="shared" si="2"/>
        <v>0.43238095238095237</v>
      </c>
      <c r="L15" s="212">
        <f t="shared" si="3"/>
        <v>0.50554317548746519</v>
      </c>
      <c r="M15" s="212">
        <f t="shared" si="4"/>
        <v>0.47658411949685542</v>
      </c>
      <c r="N15" s="212">
        <f t="shared" si="5"/>
        <v>0.45135755378793807</v>
      </c>
      <c r="O15" s="212">
        <f t="shared" si="6"/>
        <v>0.44346292243509733</v>
      </c>
      <c r="P15" s="203"/>
      <c r="Q15" s="203"/>
      <c r="R15" s="203"/>
      <c r="S15" s="203"/>
      <c r="T15" s="203"/>
    </row>
    <row r="16" spans="2:20" x14ac:dyDescent="0.3">
      <c r="B16" s="213" t="s">
        <v>267</v>
      </c>
      <c r="C16" s="214"/>
      <c r="D16" s="270">
        <f>D14-D15</f>
        <v>357.6</v>
      </c>
      <c r="E16" s="270">
        <f t="shared" ref="E16:H16" si="7">E14-E15</f>
        <v>1065.06</v>
      </c>
      <c r="F16" s="270">
        <f t="shared" si="7"/>
        <v>1997.3549999999998</v>
      </c>
      <c r="G16" s="270">
        <f t="shared" si="7"/>
        <v>3260.0800500000005</v>
      </c>
      <c r="H16" s="270">
        <f t="shared" si="7"/>
        <v>4832.4021225000024</v>
      </c>
      <c r="I16" s="215"/>
      <c r="J16" s="213" t="str">
        <f t="shared" si="1"/>
        <v>Gross Profit</v>
      </c>
      <c r="K16" s="216">
        <f t="shared" si="2"/>
        <v>0.56761904761904769</v>
      </c>
      <c r="L16" s="216">
        <f t="shared" si="3"/>
        <v>0.49445682451253481</v>
      </c>
      <c r="M16" s="216">
        <f t="shared" si="4"/>
        <v>0.52341588050314458</v>
      </c>
      <c r="N16" s="216">
        <f t="shared" si="5"/>
        <v>0.54864244621206193</v>
      </c>
      <c r="O16" s="216">
        <f t="shared" si="6"/>
        <v>0.55653707756490267</v>
      </c>
      <c r="P16" s="203"/>
      <c r="Q16" s="203"/>
      <c r="R16" s="203"/>
      <c r="S16" s="203"/>
      <c r="T16" s="203"/>
    </row>
    <row r="17" spans="2:20" x14ac:dyDescent="0.3">
      <c r="B17" s="217" t="s">
        <v>268</v>
      </c>
      <c r="C17" s="211"/>
      <c r="D17" s="266">
        <f>'P&amp;L'!F32</f>
        <v>20.25</v>
      </c>
      <c r="E17" s="266">
        <f>'P&amp;L'!G32</f>
        <v>47.70000000000001</v>
      </c>
      <c r="F17" s="266">
        <f>'P&amp;L'!H32</f>
        <v>91.800000000000011</v>
      </c>
      <c r="G17" s="266">
        <f>'P&amp;L'!I32</f>
        <v>156.40425000000005</v>
      </c>
      <c r="H17" s="266">
        <f>'P&amp;L'!J32</f>
        <v>233.23916250000013</v>
      </c>
      <c r="I17" s="209"/>
      <c r="J17" s="217" t="str">
        <f t="shared" si="1"/>
        <v>Marketing</v>
      </c>
      <c r="K17" s="212">
        <f t="shared" si="2"/>
        <v>3.214285714285714E-2</v>
      </c>
      <c r="L17" s="212">
        <f t="shared" si="3"/>
        <v>2.2144846796657385E-2</v>
      </c>
      <c r="M17" s="212">
        <f t="shared" si="4"/>
        <v>2.4056603773584907E-2</v>
      </c>
      <c r="N17" s="212">
        <f t="shared" si="5"/>
        <v>2.6321442725911869E-2</v>
      </c>
      <c r="O17" s="212">
        <f t="shared" si="6"/>
        <v>2.6861639114644158E-2</v>
      </c>
      <c r="P17" s="203"/>
      <c r="Q17" s="203"/>
      <c r="R17" s="203"/>
      <c r="S17" s="203"/>
      <c r="T17" s="203"/>
    </row>
    <row r="18" spans="2:20" x14ac:dyDescent="0.3">
      <c r="B18" s="217" t="s">
        <v>269</v>
      </c>
      <c r="C18" s="211"/>
      <c r="D18" s="266">
        <f>'P&amp;L'!F36</f>
        <v>13.5</v>
      </c>
      <c r="E18" s="266">
        <f>'P&amp;L'!G36</f>
        <v>16.2</v>
      </c>
      <c r="F18" s="266">
        <f>'P&amp;L'!H36</f>
        <v>20.25</v>
      </c>
      <c r="G18" s="266">
        <f>'P&amp;L'!I36</f>
        <v>25.3125</v>
      </c>
      <c r="H18" s="266">
        <f>'P&amp;L'!J36</f>
        <v>31.640625</v>
      </c>
      <c r="I18" s="209"/>
      <c r="J18" s="217" t="str">
        <f t="shared" si="1"/>
        <v>Payroll</v>
      </c>
      <c r="K18" s="212">
        <f t="shared" si="2"/>
        <v>2.1428571428571429E-2</v>
      </c>
      <c r="L18" s="212">
        <f t="shared" si="3"/>
        <v>7.5208913649025067E-3</v>
      </c>
      <c r="M18" s="212">
        <f t="shared" si="4"/>
        <v>5.3066037735849053E-3</v>
      </c>
      <c r="N18" s="212">
        <f t="shared" si="5"/>
        <v>4.2598683795334463E-3</v>
      </c>
      <c r="O18" s="212">
        <f t="shared" si="6"/>
        <v>3.6439808864079048E-3</v>
      </c>
      <c r="P18" s="203"/>
      <c r="Q18" s="203"/>
      <c r="R18" s="203"/>
      <c r="S18" s="203"/>
      <c r="T18" s="203"/>
    </row>
    <row r="19" spans="2:20" x14ac:dyDescent="0.3">
      <c r="B19" s="217" t="s">
        <v>270</v>
      </c>
      <c r="C19" s="211"/>
      <c r="D19" s="266">
        <f>'P&amp;L'!F28-'P&amp;L'!F32-'P&amp;L'!F36</f>
        <v>139.05000000000001</v>
      </c>
      <c r="E19" s="266">
        <f>'P&amp;L'!G28-'P&amp;L'!G32-'P&amp;L'!G36</f>
        <v>349.38000000000011</v>
      </c>
      <c r="F19" s="266">
        <f>'P&amp;L'!H28-'P&amp;L'!H32-'P&amp;L'!H36</f>
        <v>687.69</v>
      </c>
      <c r="G19" s="266">
        <f>'P&amp;L'!I28-'P&amp;L'!I32-'P&amp;L'!I36</f>
        <v>1184.5156500000003</v>
      </c>
      <c r="H19" s="266">
        <f>'P&amp;L'!J28-'P&amp;L'!J32-'P&amp;L'!J36</f>
        <v>1774.9685925000008</v>
      </c>
      <c r="I19" s="218"/>
      <c r="J19" s="217" t="str">
        <f t="shared" si="1"/>
        <v>Other Operating Expenses</v>
      </c>
      <c r="K19" s="212">
        <f t="shared" si="2"/>
        <v>0.22071428571428572</v>
      </c>
      <c r="L19" s="212">
        <f t="shared" si="3"/>
        <v>0.16220055710306411</v>
      </c>
      <c r="M19" s="212">
        <f t="shared" si="4"/>
        <v>0.18021226415094341</v>
      </c>
      <c r="N19" s="212">
        <f t="shared" si="5"/>
        <v>0.19934343753076572</v>
      </c>
      <c r="O19" s="212">
        <f t="shared" si="6"/>
        <v>0.20441921185325335</v>
      </c>
      <c r="P19" s="203"/>
      <c r="Q19" s="203"/>
      <c r="R19" s="203"/>
      <c r="S19" s="203"/>
      <c r="T19" s="203"/>
    </row>
    <row r="20" spans="2:20" x14ac:dyDescent="0.3">
      <c r="B20" s="219" t="s">
        <v>271</v>
      </c>
      <c r="C20" s="220"/>
      <c r="D20" s="271">
        <f>D16-SUM(D17:D19)</f>
        <v>184.8</v>
      </c>
      <c r="E20" s="271">
        <f t="shared" ref="E20:H20" si="8">E16-SUM(E17:E19)</f>
        <v>651.77999999999986</v>
      </c>
      <c r="F20" s="271">
        <f t="shared" si="8"/>
        <v>1197.6149999999998</v>
      </c>
      <c r="G20" s="271">
        <f t="shared" si="8"/>
        <v>1893.8476500000002</v>
      </c>
      <c r="H20" s="271">
        <f t="shared" si="8"/>
        <v>2792.5537425000016</v>
      </c>
      <c r="I20" s="221"/>
      <c r="J20" s="219" t="str">
        <f t="shared" si="1"/>
        <v>EBITDA</v>
      </c>
      <c r="K20" s="222">
        <f t="shared" si="2"/>
        <v>0.29333333333333333</v>
      </c>
      <c r="L20" s="222">
        <f t="shared" si="3"/>
        <v>0.3025905292479108</v>
      </c>
      <c r="M20" s="222">
        <f t="shared" si="4"/>
        <v>0.31384040880503139</v>
      </c>
      <c r="N20" s="222">
        <f t="shared" si="5"/>
        <v>0.31871769757585089</v>
      </c>
      <c r="O20" s="222">
        <f t="shared" si="6"/>
        <v>0.32161224571059727</v>
      </c>
      <c r="P20" s="203"/>
      <c r="Q20" s="203"/>
      <c r="R20" s="203"/>
      <c r="S20" s="203"/>
      <c r="T20" s="203"/>
    </row>
    <row r="21" spans="2:20" x14ac:dyDescent="0.3">
      <c r="B21" s="223" t="s">
        <v>146</v>
      </c>
      <c r="C21" s="224"/>
      <c r="D21" s="272">
        <f>'P&amp;L'!F46</f>
        <v>147.44829246888182</v>
      </c>
      <c r="E21" s="272">
        <f>'P&amp;L'!G46</f>
        <v>611.92708766527426</v>
      </c>
      <c r="F21" s="272">
        <f>'P&amp;L'!H46</f>
        <v>1152.6457359326366</v>
      </c>
      <c r="G21" s="272">
        <f>'P&amp;L'!I46</f>
        <v>1840.1824578023359</v>
      </c>
      <c r="H21" s="272">
        <f>'P&amp;L'!J46</f>
        <v>2730.4052661870933</v>
      </c>
      <c r="I21" s="225"/>
      <c r="J21" s="223" t="str">
        <f t="shared" si="1"/>
        <v>EBIT</v>
      </c>
      <c r="K21" s="226">
        <f t="shared" si="2"/>
        <v>0.2340449086807648</v>
      </c>
      <c r="L21" s="226">
        <f t="shared" si="3"/>
        <v>0.28408871293652471</v>
      </c>
      <c r="M21" s="226">
        <f t="shared" si="4"/>
        <v>0.3020560104645274</v>
      </c>
      <c r="N21" s="226">
        <f t="shared" si="5"/>
        <v>0.30968632353834313</v>
      </c>
      <c r="O21" s="226">
        <f t="shared" si="6"/>
        <v>0.31445474298100162</v>
      </c>
      <c r="P21" s="203"/>
      <c r="Q21" s="203"/>
      <c r="R21" s="203"/>
      <c r="S21" s="203"/>
      <c r="T21" s="203"/>
    </row>
    <row r="22" spans="2:20" x14ac:dyDescent="0.3">
      <c r="B22" s="227" t="s">
        <v>272</v>
      </c>
      <c r="C22" s="228"/>
      <c r="D22" s="273">
        <f>'P&amp;L'!F56</f>
        <v>-32.216658933637945</v>
      </c>
      <c r="E22" s="273">
        <f>'P&amp;L'!G56</f>
        <v>306.77626832514471</v>
      </c>
      <c r="F22" s="273">
        <f>'P&amp;L'!H56</f>
        <v>568.12913306285759</v>
      </c>
      <c r="G22" s="273">
        <f>'P&amp;L'!I56</f>
        <v>837.75347931089277</v>
      </c>
      <c r="H22" s="273">
        <f>'P&amp;L'!J56</f>
        <v>1850.1167623855627</v>
      </c>
      <c r="I22" s="229"/>
      <c r="J22" s="227" t="str">
        <f t="shared" si="1"/>
        <v>Net Profit</v>
      </c>
      <c r="K22" s="230">
        <f t="shared" si="2"/>
        <v>-5.1137553862917372E-2</v>
      </c>
      <c r="L22" s="230">
        <f t="shared" si="3"/>
        <v>0.14242166588911082</v>
      </c>
      <c r="M22" s="230">
        <f t="shared" si="4"/>
        <v>0.14888080006888302</v>
      </c>
      <c r="N22" s="230">
        <f t="shared" si="5"/>
        <v>0.14098645160930762</v>
      </c>
      <c r="O22" s="230">
        <f t="shared" si="6"/>
        <v>0.21307386057500019</v>
      </c>
      <c r="P22" s="203"/>
      <c r="Q22" s="203"/>
      <c r="R22" s="203"/>
      <c r="S22" s="203"/>
      <c r="T22" s="203"/>
    </row>
    <row r="23" spans="2:20" x14ac:dyDescent="0.3">
      <c r="B23"/>
      <c r="I23" s="218"/>
      <c r="P23" s="231"/>
      <c r="Q23" s="231"/>
    </row>
    <row r="24" spans="2:20" x14ac:dyDescent="0.3">
      <c r="B24" s="206" t="s">
        <v>273</v>
      </c>
      <c r="C24" s="207"/>
      <c r="D24" s="208" t="str">
        <f>D13</f>
        <v>25-26</v>
      </c>
      <c r="E24" s="208" t="str">
        <f>E13</f>
        <v>26-27</v>
      </c>
      <c r="F24" s="208" t="str">
        <f>F13</f>
        <v>27-28</v>
      </c>
      <c r="G24" s="208" t="str">
        <f>G13</f>
        <v>28-29</v>
      </c>
      <c r="H24" s="208" t="str">
        <f>H13</f>
        <v>29-30</v>
      </c>
      <c r="I24" s="232"/>
      <c r="J24" s="206" t="s">
        <v>274</v>
      </c>
      <c r="K24" s="208" t="str">
        <f>K5</f>
        <v>25-26</v>
      </c>
      <c r="L24" s="208" t="str">
        <f>L5</f>
        <v>26-27</v>
      </c>
      <c r="M24" s="208" t="str">
        <f>M5</f>
        <v>27-28</v>
      </c>
      <c r="N24" s="208" t="str">
        <f>N5</f>
        <v>28-29</v>
      </c>
      <c r="O24" s="208" t="str">
        <f>O5</f>
        <v>29-30</v>
      </c>
      <c r="P24" s="231"/>
      <c r="Q24" s="231"/>
    </row>
    <row r="25" spans="2:20" x14ac:dyDescent="0.3">
      <c r="B25" s="210" t="s">
        <v>275</v>
      </c>
      <c r="C25" s="211"/>
      <c r="D25" s="266">
        <f>CFS!F56</f>
        <v>0.36969790000000002</v>
      </c>
      <c r="E25" s="266">
        <f>CFS!G56</f>
        <v>2738.0138745324361</v>
      </c>
      <c r="F25" s="266">
        <f>CFS!H56</f>
        <v>2701.5728828688352</v>
      </c>
      <c r="G25" s="266">
        <f>CFS!I56</f>
        <v>3054.1693875778246</v>
      </c>
      <c r="H25" s="266">
        <f>CFS!J56</f>
        <v>3732.0171429594952</v>
      </c>
      <c r="I25" s="209"/>
      <c r="J25" s="233" t="s">
        <v>25</v>
      </c>
      <c r="K25" s="234"/>
      <c r="L25" s="234"/>
      <c r="M25" s="234"/>
      <c r="N25" s="234"/>
      <c r="O25" s="234"/>
      <c r="P25" s="231"/>
      <c r="Q25" s="231"/>
    </row>
    <row r="26" spans="2:20" x14ac:dyDescent="0.3">
      <c r="B26" s="210" t="s">
        <v>276</v>
      </c>
      <c r="C26" s="211"/>
      <c r="D26" s="266">
        <f>CFS!F24</f>
        <v>116.49247623698632</v>
      </c>
      <c r="E26" s="266">
        <f>CFS!G24</f>
        <v>448.22136986301359</v>
      </c>
      <c r="F26" s="266">
        <f>CFS!H24</f>
        <v>859.56500437728607</v>
      </c>
      <c r="G26" s="266">
        <f>CFS!I24</f>
        <v>1218.8140175364385</v>
      </c>
      <c r="H26" s="266">
        <f>CFS!J24</f>
        <v>1612.4048650734151</v>
      </c>
      <c r="I26" s="218"/>
      <c r="J26" s="210" t="s">
        <v>277</v>
      </c>
      <c r="K26" s="267">
        <f>BS!F38</f>
        <v>165.90675036888183</v>
      </c>
      <c r="L26" s="267">
        <f>BS!G38</f>
        <v>190.05383803415617</v>
      </c>
      <c r="M26" s="267">
        <f>BS!H38</f>
        <v>220.08457396679313</v>
      </c>
      <c r="N26" s="267">
        <f>BS!I38</f>
        <v>263.41938176912879</v>
      </c>
      <c r="O26" s="267">
        <f>BS!J38</f>
        <v>304.27090545622053</v>
      </c>
      <c r="P26" s="231"/>
      <c r="Q26" s="231"/>
    </row>
    <row r="27" spans="2:20" x14ac:dyDescent="0.3">
      <c r="B27" s="210" t="s">
        <v>278</v>
      </c>
      <c r="C27" s="211"/>
      <c r="D27" s="266">
        <f>CFS!F50</f>
        <v>-43</v>
      </c>
      <c r="E27" s="266">
        <f>CFS!G50</f>
        <v>-64</v>
      </c>
      <c r="F27" s="266">
        <f>CFS!H50</f>
        <v>-75</v>
      </c>
      <c r="G27" s="266">
        <f>CFS!I50</f>
        <v>-97</v>
      </c>
      <c r="H27" s="266">
        <f>CFS!J50</f>
        <v>-103.00000000000001</v>
      </c>
      <c r="I27" s="218"/>
      <c r="J27" s="210" t="s">
        <v>31</v>
      </c>
      <c r="K27" s="267">
        <f>BS!F45</f>
        <v>2890.2638669940802</v>
      </c>
      <c r="L27" s="267">
        <f>BS!G45</f>
        <v>3079.7524643715751</v>
      </c>
      <c r="M27" s="267">
        <f>BS!H45</f>
        <v>3658.9153389435783</v>
      </c>
      <c r="N27" s="267">
        <f>BS!I45</f>
        <v>4617.9514443252492</v>
      </c>
      <c r="O27" s="267">
        <f>BS!J45</f>
        <v>6040.0091080458069</v>
      </c>
      <c r="P27" s="231"/>
      <c r="Q27" s="231"/>
    </row>
    <row r="28" spans="2:20" x14ac:dyDescent="0.3">
      <c r="B28" s="210" t="s">
        <v>279</v>
      </c>
      <c r="C28" s="211"/>
      <c r="D28" s="266">
        <f>CFS!F38</f>
        <v>2664.1517003954496</v>
      </c>
      <c r="E28" s="266">
        <f>CFS!G38</f>
        <v>-420.66236152661463</v>
      </c>
      <c r="F28" s="266">
        <f>CFS!H38</f>
        <v>-431.9684996682966</v>
      </c>
      <c r="G28" s="266">
        <f>CFS!I38</f>
        <v>-443.96626215476806</v>
      </c>
      <c r="H28" s="266">
        <f>CFS!J38</f>
        <v>-456.69754515422704</v>
      </c>
      <c r="I28" s="218"/>
      <c r="J28" s="235" t="s">
        <v>38</v>
      </c>
      <c r="K28" s="267">
        <f>K26+K27</f>
        <v>3056.1706173629618</v>
      </c>
      <c r="L28" s="267">
        <f>L26+L27</f>
        <v>3269.8063024057315</v>
      </c>
      <c r="M28" s="267">
        <f>M26+M27</f>
        <v>3878.9999129103712</v>
      </c>
      <c r="N28" s="267">
        <f>N26+N27</f>
        <v>4881.3708260943777</v>
      </c>
      <c r="O28" s="267">
        <f>O26+O27</f>
        <v>6344.280013502027</v>
      </c>
      <c r="P28" s="231"/>
      <c r="Q28" s="231"/>
    </row>
    <row r="29" spans="2:20" x14ac:dyDescent="0.3">
      <c r="B29" s="210" t="s">
        <v>280</v>
      </c>
      <c r="C29" s="211"/>
      <c r="D29" s="266">
        <f>D26+D27+D28</f>
        <v>2737.644176632436</v>
      </c>
      <c r="E29" s="266">
        <f>E26+E27+E28</f>
        <v>-36.440991663601039</v>
      </c>
      <c r="F29" s="266">
        <f>F26+F27+F28</f>
        <v>352.59650470898947</v>
      </c>
      <c r="G29" s="266">
        <f>G26+G27+G28</f>
        <v>677.84775538167048</v>
      </c>
      <c r="H29" s="266">
        <f>H26+H27+H28</f>
        <v>1052.707319919188</v>
      </c>
      <c r="I29" s="218"/>
      <c r="J29" s="233" t="s">
        <v>11</v>
      </c>
      <c r="K29" s="274"/>
      <c r="L29" s="274"/>
      <c r="M29" s="274"/>
      <c r="N29" s="274"/>
      <c r="O29" s="274"/>
      <c r="P29" s="231"/>
      <c r="Q29" s="231"/>
    </row>
    <row r="30" spans="2:20" x14ac:dyDescent="0.3">
      <c r="B30" s="210" t="s">
        <v>132</v>
      </c>
      <c r="C30" s="211"/>
      <c r="D30" s="266">
        <f>D25+D29</f>
        <v>2738.0138745324361</v>
      </c>
      <c r="E30" s="266">
        <f>E25+E29</f>
        <v>2701.5728828688352</v>
      </c>
      <c r="F30" s="266">
        <f>F25+F29</f>
        <v>3054.1693875778246</v>
      </c>
      <c r="G30" s="266">
        <f>G25+G29</f>
        <v>3732.0171429594952</v>
      </c>
      <c r="H30" s="266">
        <f>H25+H29</f>
        <v>4784.724462878683</v>
      </c>
      <c r="I30" s="218"/>
      <c r="J30" s="210" t="s">
        <v>19</v>
      </c>
      <c r="K30" s="267">
        <f>BS!F21</f>
        <v>584.4074499530343</v>
      </c>
      <c r="L30" s="267">
        <f>BS!G21</f>
        <v>756.21774319301198</v>
      </c>
      <c r="M30" s="267">
        <f>BS!H21</f>
        <v>1081.6338236082674</v>
      </c>
      <c r="N30" s="267">
        <f>BS!I21</f>
        <v>1551.5689112850328</v>
      </c>
      <c r="O30" s="267">
        <f>BS!J21</f>
        <v>1490.3970753639278</v>
      </c>
      <c r="P30" s="231"/>
      <c r="Q30" s="231"/>
    </row>
    <row r="31" spans="2:20" x14ac:dyDescent="0.3">
      <c r="B31" s="236"/>
      <c r="C31" s="237"/>
      <c r="D31" s="237"/>
      <c r="E31" s="237"/>
      <c r="F31" s="237"/>
      <c r="G31" s="237"/>
      <c r="H31" s="237"/>
      <c r="I31" s="218"/>
      <c r="J31" s="210" t="s">
        <v>281</v>
      </c>
      <c r="K31" s="267">
        <f>BS!F19</f>
        <v>2433.8957043435653</v>
      </c>
      <c r="L31" s="267">
        <f>BS!G19</f>
        <v>2168.9448278212117</v>
      </c>
      <c r="M31" s="267">
        <f>BS!H19</f>
        <v>1884.5932248477386</v>
      </c>
      <c r="N31" s="267">
        <f>BS!I19</f>
        <v>1579.2755710440867</v>
      </c>
      <c r="O31" s="267">
        <f>BS!J19</f>
        <v>1253.2398319872789</v>
      </c>
      <c r="P31" s="231"/>
      <c r="Q31" s="231"/>
    </row>
    <row r="32" spans="2:20" ht="23.4" customHeight="1" x14ac:dyDescent="0.3">
      <c r="B32" s="206" t="s">
        <v>334</v>
      </c>
      <c r="C32" s="207"/>
      <c r="D32" s="438" t="s">
        <v>338</v>
      </c>
      <c r="E32" s="438"/>
      <c r="F32" s="237"/>
      <c r="G32" s="237"/>
      <c r="H32" s="237"/>
      <c r="I32" s="218"/>
      <c r="J32" s="210" t="s">
        <v>282</v>
      </c>
      <c r="K32" s="267">
        <f>BS!F11</f>
        <v>37.867463066362006</v>
      </c>
      <c r="L32" s="267">
        <f>BS!G11</f>
        <v>344.64373139150672</v>
      </c>
      <c r="M32" s="267">
        <f>BS!H11</f>
        <v>912.77286445436425</v>
      </c>
      <c r="N32" s="267">
        <f>BS!I11</f>
        <v>1750.526343765257</v>
      </c>
      <c r="O32" s="267">
        <f>BS!J11</f>
        <v>3600.6431061508197</v>
      </c>
      <c r="P32" s="231"/>
      <c r="Q32" s="231"/>
    </row>
    <row r="33" spans="2:17" x14ac:dyDescent="0.3">
      <c r="B33" s="210" t="s">
        <v>335</v>
      </c>
      <c r="C33" s="211"/>
      <c r="D33" s="439">
        <f>'Valuation-DCF-Terminal Growth '!C35</f>
        <v>1772.8052450552896</v>
      </c>
      <c r="E33" s="440"/>
      <c r="I33" s="218"/>
      <c r="J33" s="235" t="s">
        <v>24</v>
      </c>
      <c r="K33" s="267">
        <f>K30+K31+K32</f>
        <v>3056.1706173629618</v>
      </c>
      <c r="L33" s="267">
        <f>L30+L31+L32</f>
        <v>3269.8063024057301</v>
      </c>
      <c r="M33" s="267">
        <f>M30+M31+M32</f>
        <v>3878.9999129103699</v>
      </c>
      <c r="N33" s="267">
        <f>N30+N31+N32</f>
        <v>4881.3708260943768</v>
      </c>
      <c r="O33" s="267">
        <f>O30+O31+O32</f>
        <v>6344.2800135020261</v>
      </c>
      <c r="P33" s="231"/>
      <c r="Q33" s="231"/>
    </row>
    <row r="34" spans="2:17" x14ac:dyDescent="0.3">
      <c r="B34" s="210" t="s">
        <v>336</v>
      </c>
      <c r="C34" s="211"/>
      <c r="D34" s="439">
        <f>'Valuation-Comparables'!D14</f>
        <v>2926.0895081967215</v>
      </c>
      <c r="E34" s="440"/>
      <c r="I34" s="218"/>
      <c r="J34" s="237"/>
      <c r="K34" s="275"/>
      <c r="L34" s="275"/>
      <c r="M34" s="275"/>
      <c r="N34" s="275"/>
      <c r="O34" s="275"/>
      <c r="P34" s="231"/>
      <c r="Q34" s="231"/>
    </row>
    <row r="35" spans="2:17" x14ac:dyDescent="0.3">
      <c r="B35" s="210" t="s">
        <v>337</v>
      </c>
      <c r="C35" s="211"/>
      <c r="D35" s="396"/>
      <c r="E35" s="397">
        <f>'Valuation-VC '!C13</f>
        <v>3473.1933000000013</v>
      </c>
      <c r="I35" s="218"/>
    </row>
    <row r="36" spans="2:17" x14ac:dyDescent="0.3">
      <c r="B36" s="235" t="s">
        <v>505</v>
      </c>
      <c r="C36" s="291"/>
      <c r="D36" s="436">
        <f>AVERAGE(D33:E35)</f>
        <v>2724.0293510840038</v>
      </c>
      <c r="E36" s="437"/>
      <c r="I36" s="218"/>
    </row>
    <row r="37" spans="2:17" x14ac:dyDescent="0.3">
      <c r="I37" s="218"/>
    </row>
    <row r="38" spans="2:17" x14ac:dyDescent="0.3">
      <c r="B38" s="210" t="s">
        <v>506</v>
      </c>
      <c r="C38" s="211"/>
      <c r="D38" s="396"/>
      <c r="E38" s="397">
        <f>Config!C8</f>
        <v>0.36969790000000002</v>
      </c>
    </row>
    <row r="39" spans="2:17" x14ac:dyDescent="0.3">
      <c r="B39" s="210" t="s">
        <v>507</v>
      </c>
      <c r="C39" s="211"/>
      <c r="D39" s="396"/>
      <c r="E39" s="397">
        <f>Config!G9</f>
        <v>137.06613830000001</v>
      </c>
    </row>
    <row r="40" spans="2:17" x14ac:dyDescent="0.3">
      <c r="B40" s="235" t="s">
        <v>508</v>
      </c>
      <c r="C40" s="211"/>
      <c r="D40" s="396"/>
      <c r="E40" s="395">
        <f>D36+E38-E39</f>
        <v>2587.3329106840038</v>
      </c>
    </row>
    <row r="42" spans="2:17" x14ac:dyDescent="0.3">
      <c r="B42" s="210" t="s">
        <v>511</v>
      </c>
      <c r="C42" s="211"/>
      <c r="D42" s="396"/>
      <c r="E42" s="397">
        <f>SUM(Config!C15:C19)</f>
        <v>300</v>
      </c>
    </row>
    <row r="43" spans="2:17" x14ac:dyDescent="0.3">
      <c r="B43" s="210" t="s">
        <v>509</v>
      </c>
      <c r="C43" s="211"/>
      <c r="D43" s="396"/>
      <c r="E43" s="395">
        <f>E40-E42</f>
        <v>2287.3329106840038</v>
      </c>
    </row>
    <row r="44" spans="2:17" x14ac:dyDescent="0.3">
      <c r="B44" s="235" t="s">
        <v>512</v>
      </c>
      <c r="C44" s="211"/>
      <c r="D44" s="396"/>
      <c r="E44" s="397">
        <f>Config!C15</f>
        <v>300</v>
      </c>
    </row>
    <row r="45" spans="2:17" x14ac:dyDescent="0.3">
      <c r="B45" s="235" t="s">
        <v>510</v>
      </c>
      <c r="C45" s="211"/>
      <c r="D45" s="396"/>
      <c r="E45" s="413">
        <f>E44/(E44+E43)</f>
        <v>0.11594951649290856</v>
      </c>
    </row>
  </sheetData>
  <mergeCells count="4">
    <mergeCell ref="D36:E36"/>
    <mergeCell ref="D32:E32"/>
    <mergeCell ref="D33:E33"/>
    <mergeCell ref="D34:E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2D08-0C49-4C84-B5C7-11A646F98383}">
  <sheetPr>
    <tabColor theme="9" tint="-0.249977111117893"/>
  </sheetPr>
  <dimension ref="B2:BJ30"/>
  <sheetViews>
    <sheetView showGridLines="0" zoomScaleNormal="100" workbookViewId="0">
      <selection activeCell="C1" sqref="C1"/>
    </sheetView>
  </sheetViews>
  <sheetFormatPr defaultColWidth="8.88671875" defaultRowHeight="14.1" customHeight="1" x14ac:dyDescent="0.3"/>
  <cols>
    <col min="1" max="1" width="8.88671875" style="165"/>
    <col min="2" max="2" width="35" style="165" customWidth="1"/>
    <col min="3" max="3" width="13.44140625" style="165" bestFit="1" customWidth="1"/>
    <col min="4" max="4" width="14.5546875" style="165" bestFit="1" customWidth="1"/>
    <col min="5" max="5" width="17" style="165" bestFit="1" customWidth="1"/>
    <col min="6" max="6" width="20.44140625" style="165" bestFit="1" customWidth="1"/>
    <col min="7" max="7" width="12.44140625" style="165" customWidth="1"/>
    <col min="8" max="8" width="12.5546875" style="165" bestFit="1" customWidth="1"/>
    <col min="9" max="9" width="10.44140625" style="165" bestFit="1" customWidth="1"/>
    <col min="10" max="11" width="9.109375" style="165" bestFit="1" customWidth="1"/>
    <col min="12" max="12" width="10" style="165" bestFit="1" customWidth="1"/>
    <col min="13" max="13" width="21.109375" style="165" bestFit="1" customWidth="1"/>
    <col min="14" max="14" width="10.5546875" style="165" bestFit="1" customWidth="1"/>
    <col min="15" max="15" width="12.88671875" style="165" bestFit="1" customWidth="1"/>
    <col min="16" max="20" width="9.109375" style="165" bestFit="1" customWidth="1"/>
    <col min="21" max="21" width="10.109375" style="165" customWidth="1"/>
    <col min="22" max="26" width="9.109375" style="165" bestFit="1" customWidth="1"/>
    <col min="27" max="27" width="11.109375" style="165" bestFit="1" customWidth="1"/>
    <col min="28" max="62" width="9.109375" style="165" bestFit="1" customWidth="1"/>
    <col min="63" max="16384" width="8.88671875" style="165"/>
  </cols>
  <sheetData>
    <row r="2" spans="2:11" s="162" customFormat="1" ht="24.75" customHeight="1" x14ac:dyDescent="0.3">
      <c r="B2" s="161" t="s">
        <v>183</v>
      </c>
      <c r="C2" s="161"/>
    </row>
    <row r="4" spans="2:11" ht="14.1" customHeight="1" x14ac:dyDescent="0.3">
      <c r="B4" s="163" t="s">
        <v>184</v>
      </c>
      <c r="C4" s="164"/>
      <c r="D4" s="164"/>
      <c r="E4" s="164"/>
      <c r="F4" s="164"/>
      <c r="G4" s="164"/>
      <c r="H4" s="164"/>
      <c r="I4" s="164"/>
      <c r="J4" s="164"/>
      <c r="K4" s="164"/>
    </row>
    <row r="5" spans="2:11" ht="14.1" customHeight="1" x14ac:dyDescent="0.3">
      <c r="B5" s="166"/>
    </row>
    <row r="7" spans="2:11" ht="14.1" customHeight="1" x14ac:dyDescent="0.3">
      <c r="B7" s="167" t="s">
        <v>448</v>
      </c>
      <c r="C7" s="170" t="s">
        <v>185</v>
      </c>
      <c r="F7" s="167" t="s">
        <v>449</v>
      </c>
      <c r="G7" s="170" t="s">
        <v>185</v>
      </c>
    </row>
    <row r="8" spans="2:11" ht="14.1" customHeight="1" x14ac:dyDescent="0.3">
      <c r="B8" s="171" t="s">
        <v>186</v>
      </c>
      <c r="C8" s="387">
        <f>36969.79/100000</f>
        <v>0.36969790000000002</v>
      </c>
      <c r="F8" s="171" t="s">
        <v>189</v>
      </c>
      <c r="G8" s="387">
        <f>8279574.94/100000</f>
        <v>82.795749400000005</v>
      </c>
    </row>
    <row r="9" spans="2:11" ht="14.1" customHeight="1" x14ac:dyDescent="0.3">
      <c r="B9" s="171" t="s">
        <v>188</v>
      </c>
      <c r="C9" s="387">
        <f>3175974.94/100000</f>
        <v>31.7597494</v>
      </c>
      <c r="F9" s="171" t="s">
        <v>452</v>
      </c>
      <c r="G9" s="387">
        <f>13706613.83/100000</f>
        <v>137.06613830000001</v>
      </c>
    </row>
    <row r="10" spans="2:11" ht="14.1" customHeight="1" x14ac:dyDescent="0.3">
      <c r="B10" s="171" t="s">
        <v>190</v>
      </c>
      <c r="C10" s="387">
        <f>6062984.61/100000</f>
        <v>60.629846100000002</v>
      </c>
    </row>
    <row r="14" spans="2:11" ht="14.1" customHeight="1" x14ac:dyDescent="0.3">
      <c r="B14" s="172" t="s">
        <v>191</v>
      </c>
      <c r="C14" s="173" t="s">
        <v>192</v>
      </c>
      <c r="D14" s="173" t="s">
        <v>131</v>
      </c>
      <c r="E14" s="174"/>
    </row>
    <row r="15" spans="2:11" ht="14.1" customHeight="1" x14ac:dyDescent="0.3">
      <c r="B15" s="168" t="s">
        <v>193</v>
      </c>
      <c r="C15" s="168">
        <v>300</v>
      </c>
      <c r="D15" s="169" t="s">
        <v>194</v>
      </c>
      <c r="E15" s="175"/>
    </row>
    <row r="16" spans="2:11" ht="14.1" customHeight="1" x14ac:dyDescent="0.3">
      <c r="B16" s="168" t="s">
        <v>195</v>
      </c>
      <c r="C16" s="168">
        <v>0</v>
      </c>
      <c r="D16" s="169" t="s">
        <v>196</v>
      </c>
      <c r="E16" s="175"/>
    </row>
    <row r="17" spans="2:62" ht="14.1" customHeight="1" x14ac:dyDescent="0.3">
      <c r="B17" s="168" t="s">
        <v>197</v>
      </c>
      <c r="C17" s="168"/>
      <c r="D17" s="169" t="s">
        <v>198</v>
      </c>
      <c r="E17" s="176"/>
    </row>
    <row r="18" spans="2:62" ht="14.1" customHeight="1" x14ac:dyDescent="0.3">
      <c r="B18" s="168" t="s">
        <v>199</v>
      </c>
      <c r="C18" s="168"/>
      <c r="D18" s="169" t="s">
        <v>200</v>
      </c>
      <c r="E18" s="176"/>
    </row>
    <row r="19" spans="2:62" ht="14.1" customHeight="1" x14ac:dyDescent="0.3">
      <c r="B19" s="168" t="s">
        <v>201</v>
      </c>
      <c r="C19" s="168"/>
      <c r="D19" s="169"/>
    </row>
    <row r="21" spans="2:62" ht="14.1" customHeight="1" x14ac:dyDescent="0.3">
      <c r="B21" s="177" t="s">
        <v>202</v>
      </c>
      <c r="C21" s="178" t="s">
        <v>194</v>
      </c>
      <c r="D21" s="178" t="s">
        <v>203</v>
      </c>
      <c r="E21" s="178" t="s">
        <v>204</v>
      </c>
      <c r="F21" s="178" t="s">
        <v>205</v>
      </c>
      <c r="G21" s="178" t="s">
        <v>206</v>
      </c>
      <c r="H21" s="178" t="s">
        <v>207</v>
      </c>
      <c r="I21" s="178" t="s">
        <v>208</v>
      </c>
      <c r="J21" s="178" t="s">
        <v>209</v>
      </c>
      <c r="K21" s="178" t="s">
        <v>210</v>
      </c>
      <c r="L21" s="178" t="s">
        <v>211</v>
      </c>
      <c r="M21" s="178" t="s">
        <v>212</v>
      </c>
      <c r="N21" s="178" t="s">
        <v>213</v>
      </c>
      <c r="O21" s="178" t="s">
        <v>196</v>
      </c>
      <c r="P21" s="178" t="s">
        <v>214</v>
      </c>
      <c r="Q21" s="178" t="s">
        <v>215</v>
      </c>
      <c r="R21" s="178" t="s">
        <v>216</v>
      </c>
      <c r="S21" s="178" t="s">
        <v>217</v>
      </c>
      <c r="T21" s="178" t="s">
        <v>218</v>
      </c>
      <c r="U21" s="178" t="s">
        <v>219</v>
      </c>
      <c r="V21" s="178" t="s">
        <v>220</v>
      </c>
      <c r="W21" s="178" t="s">
        <v>221</v>
      </c>
      <c r="X21" s="178" t="s">
        <v>222</v>
      </c>
      <c r="Y21" s="178" t="s">
        <v>223</v>
      </c>
      <c r="Z21" s="178" t="s">
        <v>224</v>
      </c>
      <c r="AA21" s="178" t="s">
        <v>198</v>
      </c>
      <c r="AB21" s="178" t="s">
        <v>225</v>
      </c>
      <c r="AC21" s="178" t="s">
        <v>226</v>
      </c>
      <c r="AD21" s="178" t="s">
        <v>227</v>
      </c>
      <c r="AE21" s="178" t="s">
        <v>228</v>
      </c>
      <c r="AF21" s="178" t="s">
        <v>229</v>
      </c>
      <c r="AG21" s="178" t="s">
        <v>230</v>
      </c>
      <c r="AH21" s="178" t="s">
        <v>231</v>
      </c>
      <c r="AI21" s="178" t="s">
        <v>232</v>
      </c>
      <c r="AJ21" s="178" t="s">
        <v>233</v>
      </c>
      <c r="AK21" s="178" t="s">
        <v>234</v>
      </c>
      <c r="AL21" s="178" t="s">
        <v>235</v>
      </c>
      <c r="AM21" s="178" t="s">
        <v>200</v>
      </c>
      <c r="AN21" s="178" t="s">
        <v>236</v>
      </c>
      <c r="AO21" s="178" t="s">
        <v>237</v>
      </c>
      <c r="AP21" s="178" t="s">
        <v>238</v>
      </c>
      <c r="AQ21" s="178" t="s">
        <v>239</v>
      </c>
      <c r="AR21" s="178" t="s">
        <v>240</v>
      </c>
      <c r="AS21" s="178" t="s">
        <v>241</v>
      </c>
      <c r="AT21" s="178" t="s">
        <v>242</v>
      </c>
      <c r="AU21" s="178" t="s">
        <v>243</v>
      </c>
      <c r="AV21" s="178" t="s">
        <v>244</v>
      </c>
      <c r="AW21" s="178" t="s">
        <v>245</v>
      </c>
      <c r="AX21" s="178" t="s">
        <v>246</v>
      </c>
      <c r="AY21" s="178" t="s">
        <v>247</v>
      </c>
      <c r="AZ21" s="178" t="s">
        <v>248</v>
      </c>
      <c r="BA21" s="178" t="s">
        <v>249</v>
      </c>
      <c r="BB21" s="178" t="s">
        <v>250</v>
      </c>
      <c r="BC21" s="178" t="s">
        <v>251</v>
      </c>
      <c r="BD21" s="178" t="s">
        <v>252</v>
      </c>
      <c r="BE21" s="178" t="s">
        <v>253</v>
      </c>
      <c r="BF21" s="178" t="s">
        <v>254</v>
      </c>
      <c r="BG21" s="178" t="s">
        <v>255</v>
      </c>
      <c r="BH21" s="178" t="s">
        <v>256</v>
      </c>
      <c r="BI21" s="178" t="s">
        <v>257</v>
      </c>
      <c r="BJ21" s="178" t="s">
        <v>258</v>
      </c>
    </row>
    <row r="22" spans="2:62" ht="14.1" customHeight="1" x14ac:dyDescent="0.3">
      <c r="B22" s="177" t="str">
        <f>B15</f>
        <v>Round-1</v>
      </c>
      <c r="C22" s="179">
        <f t="shared" ref="C22:BJ22" si="0">IF(C$21=$D$15,$C$15,0)</f>
        <v>300</v>
      </c>
      <c r="D22" s="179">
        <f t="shared" si="0"/>
        <v>0</v>
      </c>
      <c r="E22" s="179">
        <f t="shared" si="0"/>
        <v>0</v>
      </c>
      <c r="F22" s="179">
        <f t="shared" si="0"/>
        <v>0</v>
      </c>
      <c r="G22" s="179">
        <f t="shared" si="0"/>
        <v>0</v>
      </c>
      <c r="H22" s="179">
        <f t="shared" si="0"/>
        <v>0</v>
      </c>
      <c r="I22" s="179">
        <f t="shared" si="0"/>
        <v>0</v>
      </c>
      <c r="J22" s="179">
        <f t="shared" si="0"/>
        <v>0</v>
      </c>
      <c r="K22" s="179">
        <f t="shared" si="0"/>
        <v>0</v>
      </c>
      <c r="L22" s="179">
        <f t="shared" si="0"/>
        <v>0</v>
      </c>
      <c r="M22" s="179">
        <f t="shared" si="0"/>
        <v>0</v>
      </c>
      <c r="N22" s="179">
        <f t="shared" si="0"/>
        <v>0</v>
      </c>
      <c r="O22" s="179">
        <f t="shared" si="0"/>
        <v>0</v>
      </c>
      <c r="P22" s="179">
        <f t="shared" si="0"/>
        <v>0</v>
      </c>
      <c r="Q22" s="179">
        <f t="shared" si="0"/>
        <v>0</v>
      </c>
      <c r="R22" s="179">
        <f t="shared" si="0"/>
        <v>0</v>
      </c>
      <c r="S22" s="179">
        <f t="shared" si="0"/>
        <v>0</v>
      </c>
      <c r="T22" s="179">
        <f t="shared" si="0"/>
        <v>0</v>
      </c>
      <c r="U22" s="179">
        <f t="shared" si="0"/>
        <v>0</v>
      </c>
      <c r="V22" s="179">
        <f t="shared" si="0"/>
        <v>0</v>
      </c>
      <c r="W22" s="179">
        <f t="shared" si="0"/>
        <v>0</v>
      </c>
      <c r="X22" s="179">
        <f t="shared" si="0"/>
        <v>0</v>
      </c>
      <c r="Y22" s="179">
        <f t="shared" si="0"/>
        <v>0</v>
      </c>
      <c r="Z22" s="179">
        <f t="shared" si="0"/>
        <v>0</v>
      </c>
      <c r="AA22" s="179">
        <f t="shared" si="0"/>
        <v>0</v>
      </c>
      <c r="AB22" s="179">
        <f t="shared" si="0"/>
        <v>0</v>
      </c>
      <c r="AC22" s="179">
        <f t="shared" si="0"/>
        <v>0</v>
      </c>
      <c r="AD22" s="179">
        <f t="shared" si="0"/>
        <v>0</v>
      </c>
      <c r="AE22" s="179">
        <f t="shared" si="0"/>
        <v>0</v>
      </c>
      <c r="AF22" s="179">
        <f t="shared" si="0"/>
        <v>0</v>
      </c>
      <c r="AG22" s="179">
        <f t="shared" si="0"/>
        <v>0</v>
      </c>
      <c r="AH22" s="179">
        <f t="shared" si="0"/>
        <v>0</v>
      </c>
      <c r="AI22" s="179">
        <f t="shared" si="0"/>
        <v>0</v>
      </c>
      <c r="AJ22" s="179">
        <f t="shared" si="0"/>
        <v>0</v>
      </c>
      <c r="AK22" s="179">
        <f t="shared" si="0"/>
        <v>0</v>
      </c>
      <c r="AL22" s="179">
        <f t="shared" si="0"/>
        <v>0</v>
      </c>
      <c r="AM22" s="179">
        <f t="shared" si="0"/>
        <v>0</v>
      </c>
      <c r="AN22" s="179">
        <f t="shared" si="0"/>
        <v>0</v>
      </c>
      <c r="AO22" s="179">
        <f t="shared" si="0"/>
        <v>0</v>
      </c>
      <c r="AP22" s="179">
        <f t="shared" si="0"/>
        <v>0</v>
      </c>
      <c r="AQ22" s="179">
        <f t="shared" si="0"/>
        <v>0</v>
      </c>
      <c r="AR22" s="179">
        <f t="shared" si="0"/>
        <v>0</v>
      </c>
      <c r="AS22" s="179">
        <f t="shared" si="0"/>
        <v>0</v>
      </c>
      <c r="AT22" s="179">
        <f t="shared" si="0"/>
        <v>0</v>
      </c>
      <c r="AU22" s="179">
        <f t="shared" si="0"/>
        <v>0</v>
      </c>
      <c r="AV22" s="179">
        <f t="shared" si="0"/>
        <v>0</v>
      </c>
      <c r="AW22" s="179">
        <f t="shared" si="0"/>
        <v>0</v>
      </c>
      <c r="AX22" s="179">
        <f t="shared" si="0"/>
        <v>0</v>
      </c>
      <c r="AY22" s="179">
        <f t="shared" si="0"/>
        <v>0</v>
      </c>
      <c r="AZ22" s="179">
        <f t="shared" si="0"/>
        <v>0</v>
      </c>
      <c r="BA22" s="179">
        <f t="shared" si="0"/>
        <v>0</v>
      </c>
      <c r="BB22" s="179">
        <f t="shared" si="0"/>
        <v>0</v>
      </c>
      <c r="BC22" s="179">
        <f t="shared" si="0"/>
        <v>0</v>
      </c>
      <c r="BD22" s="179">
        <f t="shared" si="0"/>
        <v>0</v>
      </c>
      <c r="BE22" s="179">
        <f t="shared" si="0"/>
        <v>0</v>
      </c>
      <c r="BF22" s="179">
        <f t="shared" si="0"/>
        <v>0</v>
      </c>
      <c r="BG22" s="179">
        <f t="shared" si="0"/>
        <v>0</v>
      </c>
      <c r="BH22" s="179">
        <f t="shared" si="0"/>
        <v>0</v>
      </c>
      <c r="BI22" s="179">
        <f t="shared" si="0"/>
        <v>0</v>
      </c>
      <c r="BJ22" s="179">
        <f t="shared" si="0"/>
        <v>0</v>
      </c>
    </row>
    <row r="23" spans="2:62" ht="14.1" customHeight="1" x14ac:dyDescent="0.3">
      <c r="B23" s="177" t="str">
        <f>B16</f>
        <v>Round-2</v>
      </c>
      <c r="C23" s="179">
        <f>IF(C$21=$D$16,$C$16,0)</f>
        <v>0</v>
      </c>
      <c r="D23" s="179">
        <f t="shared" ref="D23:BJ23" si="1">IF(D$21=$D$16,$C$16,0)</f>
        <v>0</v>
      </c>
      <c r="E23" s="179">
        <f t="shared" si="1"/>
        <v>0</v>
      </c>
      <c r="F23" s="179">
        <f t="shared" si="1"/>
        <v>0</v>
      </c>
      <c r="G23" s="179">
        <f t="shared" si="1"/>
        <v>0</v>
      </c>
      <c r="H23" s="179">
        <f t="shared" si="1"/>
        <v>0</v>
      </c>
      <c r="I23" s="179">
        <f t="shared" si="1"/>
        <v>0</v>
      </c>
      <c r="J23" s="179">
        <f t="shared" si="1"/>
        <v>0</v>
      </c>
      <c r="K23" s="179">
        <f t="shared" si="1"/>
        <v>0</v>
      </c>
      <c r="L23" s="179">
        <f t="shared" si="1"/>
        <v>0</v>
      </c>
      <c r="M23" s="179">
        <f t="shared" si="1"/>
        <v>0</v>
      </c>
      <c r="N23" s="179">
        <f t="shared" si="1"/>
        <v>0</v>
      </c>
      <c r="O23" s="179">
        <f t="shared" si="1"/>
        <v>0</v>
      </c>
      <c r="P23" s="179">
        <f t="shared" si="1"/>
        <v>0</v>
      </c>
      <c r="Q23" s="179">
        <f t="shared" si="1"/>
        <v>0</v>
      </c>
      <c r="R23" s="179">
        <f t="shared" si="1"/>
        <v>0</v>
      </c>
      <c r="S23" s="179">
        <f t="shared" si="1"/>
        <v>0</v>
      </c>
      <c r="T23" s="179">
        <f t="shared" si="1"/>
        <v>0</v>
      </c>
      <c r="U23" s="179">
        <f t="shared" si="1"/>
        <v>0</v>
      </c>
      <c r="V23" s="179">
        <f t="shared" si="1"/>
        <v>0</v>
      </c>
      <c r="W23" s="179">
        <f t="shared" si="1"/>
        <v>0</v>
      </c>
      <c r="X23" s="179">
        <f t="shared" si="1"/>
        <v>0</v>
      </c>
      <c r="Y23" s="179">
        <f t="shared" si="1"/>
        <v>0</v>
      </c>
      <c r="Z23" s="179">
        <f t="shared" si="1"/>
        <v>0</v>
      </c>
      <c r="AA23" s="179">
        <f t="shared" si="1"/>
        <v>0</v>
      </c>
      <c r="AB23" s="179">
        <f t="shared" si="1"/>
        <v>0</v>
      </c>
      <c r="AC23" s="179">
        <f t="shared" si="1"/>
        <v>0</v>
      </c>
      <c r="AD23" s="179">
        <f t="shared" si="1"/>
        <v>0</v>
      </c>
      <c r="AE23" s="179">
        <f t="shared" si="1"/>
        <v>0</v>
      </c>
      <c r="AF23" s="179">
        <f t="shared" si="1"/>
        <v>0</v>
      </c>
      <c r="AG23" s="179">
        <f t="shared" si="1"/>
        <v>0</v>
      </c>
      <c r="AH23" s="179">
        <f t="shared" si="1"/>
        <v>0</v>
      </c>
      <c r="AI23" s="179">
        <f t="shared" si="1"/>
        <v>0</v>
      </c>
      <c r="AJ23" s="179">
        <f t="shared" si="1"/>
        <v>0</v>
      </c>
      <c r="AK23" s="179">
        <f t="shared" si="1"/>
        <v>0</v>
      </c>
      <c r="AL23" s="179">
        <f t="shared" si="1"/>
        <v>0</v>
      </c>
      <c r="AM23" s="179">
        <f t="shared" si="1"/>
        <v>0</v>
      </c>
      <c r="AN23" s="179">
        <f t="shared" si="1"/>
        <v>0</v>
      </c>
      <c r="AO23" s="179">
        <f t="shared" si="1"/>
        <v>0</v>
      </c>
      <c r="AP23" s="179">
        <f t="shared" si="1"/>
        <v>0</v>
      </c>
      <c r="AQ23" s="179">
        <f t="shared" si="1"/>
        <v>0</v>
      </c>
      <c r="AR23" s="179">
        <f t="shared" si="1"/>
        <v>0</v>
      </c>
      <c r="AS23" s="179">
        <f t="shared" si="1"/>
        <v>0</v>
      </c>
      <c r="AT23" s="179">
        <f t="shared" si="1"/>
        <v>0</v>
      </c>
      <c r="AU23" s="179">
        <f t="shared" si="1"/>
        <v>0</v>
      </c>
      <c r="AV23" s="179">
        <f t="shared" si="1"/>
        <v>0</v>
      </c>
      <c r="AW23" s="179">
        <f t="shared" si="1"/>
        <v>0</v>
      </c>
      <c r="AX23" s="179">
        <f t="shared" si="1"/>
        <v>0</v>
      </c>
      <c r="AY23" s="179">
        <f t="shared" si="1"/>
        <v>0</v>
      </c>
      <c r="AZ23" s="179">
        <f t="shared" si="1"/>
        <v>0</v>
      </c>
      <c r="BA23" s="179">
        <f t="shared" si="1"/>
        <v>0</v>
      </c>
      <c r="BB23" s="179">
        <f t="shared" si="1"/>
        <v>0</v>
      </c>
      <c r="BC23" s="179">
        <f t="shared" si="1"/>
        <v>0</v>
      </c>
      <c r="BD23" s="179">
        <f t="shared" si="1"/>
        <v>0</v>
      </c>
      <c r="BE23" s="179">
        <f t="shared" si="1"/>
        <v>0</v>
      </c>
      <c r="BF23" s="179">
        <f t="shared" si="1"/>
        <v>0</v>
      </c>
      <c r="BG23" s="179">
        <f t="shared" si="1"/>
        <v>0</v>
      </c>
      <c r="BH23" s="179">
        <f t="shared" si="1"/>
        <v>0</v>
      </c>
      <c r="BI23" s="179">
        <f t="shared" si="1"/>
        <v>0</v>
      </c>
      <c r="BJ23" s="179">
        <f t="shared" si="1"/>
        <v>0</v>
      </c>
    </row>
    <row r="24" spans="2:62" ht="14.1" customHeight="1" x14ac:dyDescent="0.3">
      <c r="B24" s="177" t="str">
        <f>B17</f>
        <v>Round-3</v>
      </c>
      <c r="C24" s="179">
        <f>IF(C$21=$D$17,$C$17,0)</f>
        <v>0</v>
      </c>
      <c r="D24" s="179">
        <f t="shared" ref="D24:BJ24" si="2">IF(D$21=$D$17,$C$17,0)</f>
        <v>0</v>
      </c>
      <c r="E24" s="179">
        <f t="shared" si="2"/>
        <v>0</v>
      </c>
      <c r="F24" s="179">
        <f t="shared" si="2"/>
        <v>0</v>
      </c>
      <c r="G24" s="179">
        <f t="shared" si="2"/>
        <v>0</v>
      </c>
      <c r="H24" s="179">
        <f t="shared" si="2"/>
        <v>0</v>
      </c>
      <c r="I24" s="179">
        <f t="shared" si="2"/>
        <v>0</v>
      </c>
      <c r="J24" s="179">
        <f t="shared" si="2"/>
        <v>0</v>
      </c>
      <c r="K24" s="179">
        <f t="shared" si="2"/>
        <v>0</v>
      </c>
      <c r="L24" s="179">
        <f t="shared" si="2"/>
        <v>0</v>
      </c>
      <c r="M24" s="179">
        <f t="shared" si="2"/>
        <v>0</v>
      </c>
      <c r="N24" s="179">
        <f t="shared" si="2"/>
        <v>0</v>
      </c>
      <c r="O24" s="179">
        <f t="shared" si="2"/>
        <v>0</v>
      </c>
      <c r="P24" s="179">
        <f t="shared" si="2"/>
        <v>0</v>
      </c>
      <c r="Q24" s="179">
        <f t="shared" si="2"/>
        <v>0</v>
      </c>
      <c r="R24" s="179">
        <f t="shared" si="2"/>
        <v>0</v>
      </c>
      <c r="S24" s="179">
        <f t="shared" si="2"/>
        <v>0</v>
      </c>
      <c r="T24" s="179">
        <f t="shared" si="2"/>
        <v>0</v>
      </c>
      <c r="U24" s="179">
        <f t="shared" si="2"/>
        <v>0</v>
      </c>
      <c r="V24" s="179">
        <f t="shared" si="2"/>
        <v>0</v>
      </c>
      <c r="W24" s="179">
        <f t="shared" si="2"/>
        <v>0</v>
      </c>
      <c r="X24" s="179">
        <f t="shared" si="2"/>
        <v>0</v>
      </c>
      <c r="Y24" s="179">
        <f t="shared" si="2"/>
        <v>0</v>
      </c>
      <c r="Z24" s="179">
        <f t="shared" si="2"/>
        <v>0</v>
      </c>
      <c r="AA24" s="179">
        <f t="shared" si="2"/>
        <v>0</v>
      </c>
      <c r="AB24" s="179">
        <f t="shared" si="2"/>
        <v>0</v>
      </c>
      <c r="AC24" s="179">
        <f t="shared" si="2"/>
        <v>0</v>
      </c>
      <c r="AD24" s="179">
        <f t="shared" si="2"/>
        <v>0</v>
      </c>
      <c r="AE24" s="179">
        <f t="shared" si="2"/>
        <v>0</v>
      </c>
      <c r="AF24" s="179">
        <f t="shared" si="2"/>
        <v>0</v>
      </c>
      <c r="AG24" s="179">
        <f t="shared" si="2"/>
        <v>0</v>
      </c>
      <c r="AH24" s="179">
        <f t="shared" si="2"/>
        <v>0</v>
      </c>
      <c r="AI24" s="179">
        <f t="shared" si="2"/>
        <v>0</v>
      </c>
      <c r="AJ24" s="179">
        <f t="shared" si="2"/>
        <v>0</v>
      </c>
      <c r="AK24" s="179">
        <f t="shared" si="2"/>
        <v>0</v>
      </c>
      <c r="AL24" s="179">
        <f t="shared" si="2"/>
        <v>0</v>
      </c>
      <c r="AM24" s="179">
        <f t="shared" si="2"/>
        <v>0</v>
      </c>
      <c r="AN24" s="179">
        <f t="shared" si="2"/>
        <v>0</v>
      </c>
      <c r="AO24" s="179">
        <f t="shared" si="2"/>
        <v>0</v>
      </c>
      <c r="AP24" s="179">
        <f t="shared" si="2"/>
        <v>0</v>
      </c>
      <c r="AQ24" s="179">
        <f t="shared" si="2"/>
        <v>0</v>
      </c>
      <c r="AR24" s="179">
        <f t="shared" si="2"/>
        <v>0</v>
      </c>
      <c r="AS24" s="179">
        <f t="shared" si="2"/>
        <v>0</v>
      </c>
      <c r="AT24" s="179">
        <f t="shared" si="2"/>
        <v>0</v>
      </c>
      <c r="AU24" s="179">
        <f t="shared" si="2"/>
        <v>0</v>
      </c>
      <c r="AV24" s="179">
        <f t="shared" si="2"/>
        <v>0</v>
      </c>
      <c r="AW24" s="179">
        <f t="shared" si="2"/>
        <v>0</v>
      </c>
      <c r="AX24" s="179">
        <f t="shared" si="2"/>
        <v>0</v>
      </c>
      <c r="AY24" s="179">
        <f t="shared" si="2"/>
        <v>0</v>
      </c>
      <c r="AZ24" s="179">
        <f t="shared" si="2"/>
        <v>0</v>
      </c>
      <c r="BA24" s="179">
        <f t="shared" si="2"/>
        <v>0</v>
      </c>
      <c r="BB24" s="179">
        <f t="shared" si="2"/>
        <v>0</v>
      </c>
      <c r="BC24" s="179">
        <f t="shared" si="2"/>
        <v>0</v>
      </c>
      <c r="BD24" s="179">
        <f t="shared" si="2"/>
        <v>0</v>
      </c>
      <c r="BE24" s="179">
        <f t="shared" si="2"/>
        <v>0</v>
      </c>
      <c r="BF24" s="179">
        <f t="shared" si="2"/>
        <v>0</v>
      </c>
      <c r="BG24" s="179">
        <f t="shared" si="2"/>
        <v>0</v>
      </c>
      <c r="BH24" s="179">
        <f t="shared" si="2"/>
        <v>0</v>
      </c>
      <c r="BI24" s="179">
        <f t="shared" si="2"/>
        <v>0</v>
      </c>
      <c r="BJ24" s="179">
        <f t="shared" si="2"/>
        <v>0</v>
      </c>
    </row>
    <row r="25" spans="2:62" ht="14.1" customHeight="1" x14ac:dyDescent="0.3">
      <c r="B25" s="177" t="str">
        <f>B18</f>
        <v>Round-4</v>
      </c>
      <c r="C25" s="179">
        <f>IF(C$21=$D$18,$C$18,0)</f>
        <v>0</v>
      </c>
      <c r="D25" s="179">
        <f t="shared" ref="D25:BJ25" si="3">IF(D$21=$D$18,$C$18,0)</f>
        <v>0</v>
      </c>
      <c r="E25" s="179">
        <f t="shared" si="3"/>
        <v>0</v>
      </c>
      <c r="F25" s="179">
        <f t="shared" si="3"/>
        <v>0</v>
      </c>
      <c r="G25" s="179">
        <f t="shared" si="3"/>
        <v>0</v>
      </c>
      <c r="H25" s="179">
        <f t="shared" si="3"/>
        <v>0</v>
      </c>
      <c r="I25" s="179">
        <f t="shared" si="3"/>
        <v>0</v>
      </c>
      <c r="J25" s="179">
        <f t="shared" si="3"/>
        <v>0</v>
      </c>
      <c r="K25" s="179">
        <f t="shared" si="3"/>
        <v>0</v>
      </c>
      <c r="L25" s="179">
        <f t="shared" si="3"/>
        <v>0</v>
      </c>
      <c r="M25" s="179">
        <f t="shared" si="3"/>
        <v>0</v>
      </c>
      <c r="N25" s="179">
        <f t="shared" si="3"/>
        <v>0</v>
      </c>
      <c r="O25" s="179">
        <f t="shared" si="3"/>
        <v>0</v>
      </c>
      <c r="P25" s="179">
        <f t="shared" si="3"/>
        <v>0</v>
      </c>
      <c r="Q25" s="179">
        <f t="shared" si="3"/>
        <v>0</v>
      </c>
      <c r="R25" s="179">
        <f t="shared" si="3"/>
        <v>0</v>
      </c>
      <c r="S25" s="179">
        <f t="shared" si="3"/>
        <v>0</v>
      </c>
      <c r="T25" s="179">
        <f t="shared" si="3"/>
        <v>0</v>
      </c>
      <c r="U25" s="179">
        <f t="shared" si="3"/>
        <v>0</v>
      </c>
      <c r="V25" s="179">
        <f t="shared" si="3"/>
        <v>0</v>
      </c>
      <c r="W25" s="179">
        <f t="shared" si="3"/>
        <v>0</v>
      </c>
      <c r="X25" s="179">
        <f t="shared" si="3"/>
        <v>0</v>
      </c>
      <c r="Y25" s="179">
        <f t="shared" si="3"/>
        <v>0</v>
      </c>
      <c r="Z25" s="179">
        <f t="shared" si="3"/>
        <v>0</v>
      </c>
      <c r="AA25" s="179">
        <f t="shared" si="3"/>
        <v>0</v>
      </c>
      <c r="AB25" s="179">
        <f t="shared" si="3"/>
        <v>0</v>
      </c>
      <c r="AC25" s="179">
        <f t="shared" si="3"/>
        <v>0</v>
      </c>
      <c r="AD25" s="179">
        <f t="shared" si="3"/>
        <v>0</v>
      </c>
      <c r="AE25" s="179">
        <f t="shared" si="3"/>
        <v>0</v>
      </c>
      <c r="AF25" s="179">
        <f t="shared" si="3"/>
        <v>0</v>
      </c>
      <c r="AG25" s="179">
        <f t="shared" si="3"/>
        <v>0</v>
      </c>
      <c r="AH25" s="179">
        <f t="shared" si="3"/>
        <v>0</v>
      </c>
      <c r="AI25" s="179">
        <f t="shared" si="3"/>
        <v>0</v>
      </c>
      <c r="AJ25" s="179">
        <f t="shared" si="3"/>
        <v>0</v>
      </c>
      <c r="AK25" s="179">
        <f t="shared" si="3"/>
        <v>0</v>
      </c>
      <c r="AL25" s="179">
        <f t="shared" si="3"/>
        <v>0</v>
      </c>
      <c r="AM25" s="179">
        <f t="shared" si="3"/>
        <v>0</v>
      </c>
      <c r="AN25" s="179">
        <f t="shared" si="3"/>
        <v>0</v>
      </c>
      <c r="AO25" s="179">
        <f t="shared" si="3"/>
        <v>0</v>
      </c>
      <c r="AP25" s="179">
        <f t="shared" si="3"/>
        <v>0</v>
      </c>
      <c r="AQ25" s="179">
        <f t="shared" si="3"/>
        <v>0</v>
      </c>
      <c r="AR25" s="179">
        <f t="shared" si="3"/>
        <v>0</v>
      </c>
      <c r="AS25" s="179">
        <f t="shared" si="3"/>
        <v>0</v>
      </c>
      <c r="AT25" s="179">
        <f t="shared" si="3"/>
        <v>0</v>
      </c>
      <c r="AU25" s="179">
        <f t="shared" si="3"/>
        <v>0</v>
      </c>
      <c r="AV25" s="179">
        <f t="shared" si="3"/>
        <v>0</v>
      </c>
      <c r="AW25" s="179">
        <f t="shared" si="3"/>
        <v>0</v>
      </c>
      <c r="AX25" s="179">
        <f t="shared" si="3"/>
        <v>0</v>
      </c>
      <c r="AY25" s="179">
        <f t="shared" si="3"/>
        <v>0</v>
      </c>
      <c r="AZ25" s="179">
        <f t="shared" si="3"/>
        <v>0</v>
      </c>
      <c r="BA25" s="179">
        <f t="shared" si="3"/>
        <v>0</v>
      </c>
      <c r="BB25" s="179">
        <f t="shared" si="3"/>
        <v>0</v>
      </c>
      <c r="BC25" s="179">
        <f t="shared" si="3"/>
        <v>0</v>
      </c>
      <c r="BD25" s="179">
        <f t="shared" si="3"/>
        <v>0</v>
      </c>
      <c r="BE25" s="179">
        <f t="shared" si="3"/>
        <v>0</v>
      </c>
      <c r="BF25" s="179">
        <f t="shared" si="3"/>
        <v>0</v>
      </c>
      <c r="BG25" s="179">
        <f t="shared" si="3"/>
        <v>0</v>
      </c>
      <c r="BH25" s="179">
        <f t="shared" si="3"/>
        <v>0</v>
      </c>
      <c r="BI25" s="179">
        <f t="shared" si="3"/>
        <v>0</v>
      </c>
      <c r="BJ25" s="179">
        <f t="shared" si="3"/>
        <v>0</v>
      </c>
    </row>
    <row r="26" spans="2:62" ht="14.1" customHeight="1" x14ac:dyDescent="0.3">
      <c r="B26" s="177" t="str">
        <f>B19</f>
        <v>Round-5</v>
      </c>
      <c r="C26" s="179">
        <f>IF(C$21=$D$19,$C$19,0)</f>
        <v>0</v>
      </c>
      <c r="D26" s="179">
        <f t="shared" ref="D26:BJ26" si="4">IF(D$21=$D$19,$C$19,0)</f>
        <v>0</v>
      </c>
      <c r="E26" s="179">
        <f t="shared" si="4"/>
        <v>0</v>
      </c>
      <c r="F26" s="179">
        <f t="shared" si="4"/>
        <v>0</v>
      </c>
      <c r="G26" s="179">
        <f t="shared" si="4"/>
        <v>0</v>
      </c>
      <c r="H26" s="179">
        <f t="shared" si="4"/>
        <v>0</v>
      </c>
      <c r="I26" s="179">
        <f t="shared" si="4"/>
        <v>0</v>
      </c>
      <c r="J26" s="179">
        <f t="shared" si="4"/>
        <v>0</v>
      </c>
      <c r="K26" s="179">
        <f t="shared" si="4"/>
        <v>0</v>
      </c>
      <c r="L26" s="179">
        <f t="shared" si="4"/>
        <v>0</v>
      </c>
      <c r="M26" s="179">
        <f t="shared" si="4"/>
        <v>0</v>
      </c>
      <c r="N26" s="179">
        <f t="shared" si="4"/>
        <v>0</v>
      </c>
      <c r="O26" s="179">
        <f t="shared" si="4"/>
        <v>0</v>
      </c>
      <c r="P26" s="179">
        <f t="shared" si="4"/>
        <v>0</v>
      </c>
      <c r="Q26" s="179">
        <f t="shared" si="4"/>
        <v>0</v>
      </c>
      <c r="R26" s="179">
        <f t="shared" si="4"/>
        <v>0</v>
      </c>
      <c r="S26" s="179">
        <f t="shared" si="4"/>
        <v>0</v>
      </c>
      <c r="T26" s="179">
        <f t="shared" si="4"/>
        <v>0</v>
      </c>
      <c r="U26" s="179">
        <f t="shared" si="4"/>
        <v>0</v>
      </c>
      <c r="V26" s="179">
        <f t="shared" si="4"/>
        <v>0</v>
      </c>
      <c r="W26" s="179">
        <f t="shared" si="4"/>
        <v>0</v>
      </c>
      <c r="X26" s="179">
        <f t="shared" si="4"/>
        <v>0</v>
      </c>
      <c r="Y26" s="179">
        <f t="shared" si="4"/>
        <v>0</v>
      </c>
      <c r="Z26" s="179">
        <f t="shared" si="4"/>
        <v>0</v>
      </c>
      <c r="AA26" s="179">
        <f t="shared" si="4"/>
        <v>0</v>
      </c>
      <c r="AB26" s="179">
        <f t="shared" si="4"/>
        <v>0</v>
      </c>
      <c r="AC26" s="179">
        <f t="shared" si="4"/>
        <v>0</v>
      </c>
      <c r="AD26" s="179">
        <f t="shared" si="4"/>
        <v>0</v>
      </c>
      <c r="AE26" s="179">
        <f t="shared" si="4"/>
        <v>0</v>
      </c>
      <c r="AF26" s="179">
        <f t="shared" si="4"/>
        <v>0</v>
      </c>
      <c r="AG26" s="179">
        <f t="shared" si="4"/>
        <v>0</v>
      </c>
      <c r="AH26" s="179">
        <f t="shared" si="4"/>
        <v>0</v>
      </c>
      <c r="AI26" s="179">
        <f t="shared" si="4"/>
        <v>0</v>
      </c>
      <c r="AJ26" s="179">
        <f t="shared" si="4"/>
        <v>0</v>
      </c>
      <c r="AK26" s="179">
        <f t="shared" si="4"/>
        <v>0</v>
      </c>
      <c r="AL26" s="179">
        <f t="shared" si="4"/>
        <v>0</v>
      </c>
      <c r="AM26" s="179">
        <f t="shared" si="4"/>
        <v>0</v>
      </c>
      <c r="AN26" s="179">
        <f t="shared" si="4"/>
        <v>0</v>
      </c>
      <c r="AO26" s="179">
        <f t="shared" si="4"/>
        <v>0</v>
      </c>
      <c r="AP26" s="179">
        <f t="shared" si="4"/>
        <v>0</v>
      </c>
      <c r="AQ26" s="179">
        <f t="shared" si="4"/>
        <v>0</v>
      </c>
      <c r="AR26" s="179">
        <f t="shared" si="4"/>
        <v>0</v>
      </c>
      <c r="AS26" s="179">
        <f t="shared" si="4"/>
        <v>0</v>
      </c>
      <c r="AT26" s="179">
        <f t="shared" si="4"/>
        <v>0</v>
      </c>
      <c r="AU26" s="179">
        <f t="shared" si="4"/>
        <v>0</v>
      </c>
      <c r="AV26" s="179">
        <f t="shared" si="4"/>
        <v>0</v>
      </c>
      <c r="AW26" s="179">
        <f t="shared" si="4"/>
        <v>0</v>
      </c>
      <c r="AX26" s="179">
        <f t="shared" si="4"/>
        <v>0</v>
      </c>
      <c r="AY26" s="179">
        <f t="shared" si="4"/>
        <v>0</v>
      </c>
      <c r="AZ26" s="179">
        <f t="shared" si="4"/>
        <v>0</v>
      </c>
      <c r="BA26" s="179">
        <f t="shared" si="4"/>
        <v>0</v>
      </c>
      <c r="BB26" s="179">
        <f t="shared" si="4"/>
        <v>0</v>
      </c>
      <c r="BC26" s="179">
        <f t="shared" si="4"/>
        <v>0</v>
      </c>
      <c r="BD26" s="179">
        <f t="shared" si="4"/>
        <v>0</v>
      </c>
      <c r="BE26" s="179">
        <f t="shared" si="4"/>
        <v>0</v>
      </c>
      <c r="BF26" s="179">
        <f t="shared" si="4"/>
        <v>0</v>
      </c>
      <c r="BG26" s="179">
        <f t="shared" si="4"/>
        <v>0</v>
      </c>
      <c r="BH26" s="179">
        <f t="shared" si="4"/>
        <v>0</v>
      </c>
      <c r="BI26" s="179">
        <f t="shared" si="4"/>
        <v>0</v>
      </c>
      <c r="BJ26" s="179">
        <f t="shared" si="4"/>
        <v>0</v>
      </c>
    </row>
    <row r="27" spans="2:62" ht="14.1" customHeight="1" x14ac:dyDescent="0.3">
      <c r="B27" s="177" t="s">
        <v>8</v>
      </c>
      <c r="C27" s="180">
        <f>SUM(C22:C26)</f>
        <v>300</v>
      </c>
      <c r="D27" s="180">
        <f t="shared" ref="D27:BJ27" si="5">SUM(D22:D26)</f>
        <v>0</v>
      </c>
      <c r="E27" s="180">
        <f t="shared" si="5"/>
        <v>0</v>
      </c>
      <c r="F27" s="180">
        <f t="shared" si="5"/>
        <v>0</v>
      </c>
      <c r="G27" s="180">
        <f t="shared" si="5"/>
        <v>0</v>
      </c>
      <c r="H27" s="180">
        <f t="shared" si="5"/>
        <v>0</v>
      </c>
      <c r="I27" s="180">
        <f t="shared" si="5"/>
        <v>0</v>
      </c>
      <c r="J27" s="180">
        <f t="shared" si="5"/>
        <v>0</v>
      </c>
      <c r="K27" s="180">
        <f t="shared" si="5"/>
        <v>0</v>
      </c>
      <c r="L27" s="180">
        <f t="shared" si="5"/>
        <v>0</v>
      </c>
      <c r="M27" s="180">
        <f t="shared" si="5"/>
        <v>0</v>
      </c>
      <c r="N27" s="180">
        <f t="shared" si="5"/>
        <v>0</v>
      </c>
      <c r="O27" s="180">
        <f t="shared" si="5"/>
        <v>0</v>
      </c>
      <c r="P27" s="180">
        <f t="shared" si="5"/>
        <v>0</v>
      </c>
      <c r="Q27" s="180">
        <f t="shared" si="5"/>
        <v>0</v>
      </c>
      <c r="R27" s="180">
        <f t="shared" si="5"/>
        <v>0</v>
      </c>
      <c r="S27" s="180">
        <f t="shared" si="5"/>
        <v>0</v>
      </c>
      <c r="T27" s="180">
        <f t="shared" si="5"/>
        <v>0</v>
      </c>
      <c r="U27" s="180">
        <f t="shared" si="5"/>
        <v>0</v>
      </c>
      <c r="V27" s="180">
        <f t="shared" si="5"/>
        <v>0</v>
      </c>
      <c r="W27" s="180">
        <f t="shared" si="5"/>
        <v>0</v>
      </c>
      <c r="X27" s="180">
        <f t="shared" si="5"/>
        <v>0</v>
      </c>
      <c r="Y27" s="180">
        <f t="shared" si="5"/>
        <v>0</v>
      </c>
      <c r="Z27" s="180">
        <f t="shared" si="5"/>
        <v>0</v>
      </c>
      <c r="AA27" s="180">
        <f t="shared" si="5"/>
        <v>0</v>
      </c>
      <c r="AB27" s="180">
        <f t="shared" si="5"/>
        <v>0</v>
      </c>
      <c r="AC27" s="180">
        <f t="shared" si="5"/>
        <v>0</v>
      </c>
      <c r="AD27" s="180">
        <f t="shared" si="5"/>
        <v>0</v>
      </c>
      <c r="AE27" s="180">
        <f t="shared" si="5"/>
        <v>0</v>
      </c>
      <c r="AF27" s="180">
        <f t="shared" si="5"/>
        <v>0</v>
      </c>
      <c r="AG27" s="180">
        <f t="shared" si="5"/>
        <v>0</v>
      </c>
      <c r="AH27" s="180">
        <f t="shared" si="5"/>
        <v>0</v>
      </c>
      <c r="AI27" s="180">
        <f t="shared" si="5"/>
        <v>0</v>
      </c>
      <c r="AJ27" s="180">
        <f t="shared" si="5"/>
        <v>0</v>
      </c>
      <c r="AK27" s="180">
        <f t="shared" si="5"/>
        <v>0</v>
      </c>
      <c r="AL27" s="180">
        <f t="shared" si="5"/>
        <v>0</v>
      </c>
      <c r="AM27" s="180">
        <f t="shared" si="5"/>
        <v>0</v>
      </c>
      <c r="AN27" s="180">
        <f t="shared" si="5"/>
        <v>0</v>
      </c>
      <c r="AO27" s="180">
        <f t="shared" si="5"/>
        <v>0</v>
      </c>
      <c r="AP27" s="180">
        <f t="shared" si="5"/>
        <v>0</v>
      </c>
      <c r="AQ27" s="180">
        <f t="shared" si="5"/>
        <v>0</v>
      </c>
      <c r="AR27" s="180">
        <f t="shared" si="5"/>
        <v>0</v>
      </c>
      <c r="AS27" s="180">
        <f t="shared" si="5"/>
        <v>0</v>
      </c>
      <c r="AT27" s="180">
        <f t="shared" si="5"/>
        <v>0</v>
      </c>
      <c r="AU27" s="180">
        <f t="shared" si="5"/>
        <v>0</v>
      </c>
      <c r="AV27" s="180">
        <f t="shared" si="5"/>
        <v>0</v>
      </c>
      <c r="AW27" s="180">
        <f t="shared" si="5"/>
        <v>0</v>
      </c>
      <c r="AX27" s="180">
        <f t="shared" si="5"/>
        <v>0</v>
      </c>
      <c r="AY27" s="180">
        <f t="shared" si="5"/>
        <v>0</v>
      </c>
      <c r="AZ27" s="180">
        <f t="shared" si="5"/>
        <v>0</v>
      </c>
      <c r="BA27" s="180">
        <f t="shared" si="5"/>
        <v>0</v>
      </c>
      <c r="BB27" s="180">
        <f t="shared" si="5"/>
        <v>0</v>
      </c>
      <c r="BC27" s="180">
        <f t="shared" si="5"/>
        <v>0</v>
      </c>
      <c r="BD27" s="180">
        <f t="shared" si="5"/>
        <v>0</v>
      </c>
      <c r="BE27" s="180">
        <f t="shared" si="5"/>
        <v>0</v>
      </c>
      <c r="BF27" s="180">
        <f t="shared" si="5"/>
        <v>0</v>
      </c>
      <c r="BG27" s="180">
        <f t="shared" si="5"/>
        <v>0</v>
      </c>
      <c r="BH27" s="180">
        <f t="shared" si="5"/>
        <v>0</v>
      </c>
      <c r="BI27" s="180">
        <f t="shared" si="5"/>
        <v>0</v>
      </c>
      <c r="BJ27" s="180">
        <f t="shared" si="5"/>
        <v>0</v>
      </c>
    </row>
    <row r="29" spans="2:62" ht="14.1" customHeight="1" x14ac:dyDescent="0.3">
      <c r="B29" s="181" t="s">
        <v>259</v>
      </c>
      <c r="C29" s="182" t="s">
        <v>300</v>
      </c>
      <c r="D29" s="182" t="s">
        <v>301</v>
      </c>
      <c r="E29" s="182" t="s">
        <v>302</v>
      </c>
      <c r="F29" s="182" t="s">
        <v>304</v>
      </c>
      <c r="G29" s="182" t="s">
        <v>303</v>
      </c>
    </row>
    <row r="30" spans="2:62" ht="14.1" customHeight="1" x14ac:dyDescent="0.3">
      <c r="B30" s="183" t="s">
        <v>309</v>
      </c>
      <c r="C30" s="276">
        <f>SUM(C27:N27)</f>
        <v>300</v>
      </c>
      <c r="D30" s="276">
        <f>SUM(O27:Z27)</f>
        <v>0</v>
      </c>
      <c r="E30" s="276">
        <f>SUM(AA27:AL27)</f>
        <v>0</v>
      </c>
      <c r="F30" s="276">
        <f>SUM(AM27:AX27)</f>
        <v>0</v>
      </c>
      <c r="G30" s="276">
        <f>SUM(AY27:BJ27)</f>
        <v>0</v>
      </c>
    </row>
  </sheetData>
  <dataValidations count="1">
    <dataValidation type="list" allowBlank="1" showInputMessage="1" showErrorMessage="1" sqref="D15:D19" xr:uid="{AF664FD8-54B3-4679-AADC-21434141D43E}">
      <formula1>$C$21:$BJ$21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3495-DA2A-46A5-BE0C-870A0CC32A2E}">
  <sheetPr>
    <tabColor rgb="FF00B050"/>
    <pageSetUpPr fitToPage="1"/>
  </sheetPr>
  <dimension ref="A1:K18"/>
  <sheetViews>
    <sheetView showGridLines="0" zoomScaleNormal="100" zoomScaleSheetLayoutView="100" workbookViewId="0">
      <selection activeCell="A6" sqref="A6"/>
    </sheetView>
  </sheetViews>
  <sheetFormatPr defaultColWidth="8.6640625" defaultRowHeight="14.4" x14ac:dyDescent="0.3"/>
  <cols>
    <col min="1" max="1" width="3.44140625" style="6" customWidth="1"/>
    <col min="2" max="2" width="10.44140625" style="2" customWidth="1"/>
    <col min="3" max="3" width="0.77734375" style="3" customWidth="1"/>
    <col min="4" max="4" width="56.109375" style="4" customWidth="1"/>
    <col min="5" max="5" width="0.77734375" style="3" customWidth="1"/>
    <col min="6" max="6" width="20.6640625" style="5" customWidth="1"/>
    <col min="7" max="7" width="6.44140625" style="4" bestFit="1" customWidth="1"/>
    <col min="8" max="8" width="20.6640625" style="4" bestFit="1" customWidth="1"/>
    <col min="9" max="9" width="14.5546875" style="4" bestFit="1" customWidth="1"/>
    <col min="10" max="11" width="14.77734375" style="4" bestFit="1" customWidth="1"/>
    <col min="12" max="12" width="1.109375" style="4" customWidth="1"/>
    <col min="13" max="13" width="16.109375" style="4" bestFit="1" customWidth="1"/>
    <col min="14" max="14" width="1.109375" style="4" customWidth="1"/>
    <col min="15" max="15" width="13.21875" style="4" bestFit="1" customWidth="1"/>
    <col min="16" max="16" width="8.88671875" style="4" bestFit="1" customWidth="1"/>
    <col min="17" max="17" width="0.77734375" style="4" customWidth="1"/>
    <col min="18" max="18" width="40.77734375" style="4" customWidth="1"/>
    <col min="19" max="19" width="0.77734375" style="4" customWidth="1"/>
    <col min="20" max="20" width="15.21875" style="4" customWidth="1"/>
    <col min="21" max="21" width="11.21875" style="4" bestFit="1" customWidth="1"/>
    <col min="22" max="22" width="8.6640625" style="4"/>
    <col min="23" max="23" width="15.44140625" style="4" bestFit="1" customWidth="1"/>
    <col min="24" max="24" width="19" style="4" bestFit="1" customWidth="1"/>
    <col min="25" max="25" width="10.88671875" style="4" bestFit="1" customWidth="1"/>
    <col min="26" max="27" width="11.77734375" style="4" bestFit="1" customWidth="1"/>
    <col min="28" max="28" width="12.44140625" style="4" bestFit="1" customWidth="1"/>
    <col min="29" max="16384" width="8.6640625" style="4"/>
  </cols>
  <sheetData>
    <row r="1" spans="1:11" x14ac:dyDescent="0.3">
      <c r="A1" s="1"/>
      <c r="G1" s="3"/>
      <c r="H1" s="3"/>
    </row>
    <row r="5" spans="1:11" ht="21" x14ac:dyDescent="0.3">
      <c r="B5" s="7" t="s">
        <v>0</v>
      </c>
      <c r="C5" s="8"/>
      <c r="D5" s="9"/>
      <c r="E5" s="8"/>
      <c r="F5" s="10"/>
    </row>
    <row r="6" spans="1:11" s="3" customFormat="1" ht="4.95" customHeight="1" x14ac:dyDescent="0.3">
      <c r="A6" s="6"/>
      <c r="F6" s="11"/>
    </row>
    <row r="7" spans="1:11" ht="18" customHeight="1" x14ac:dyDescent="0.3">
      <c r="B7" s="12" t="s">
        <v>1</v>
      </c>
      <c r="D7" s="13" t="s">
        <v>2</v>
      </c>
      <c r="F7" s="14" t="s">
        <v>3</v>
      </c>
    </row>
    <row r="8" spans="1:11" s="3" customFormat="1" ht="4.95" customHeight="1" x14ac:dyDescent="0.3">
      <c r="A8" s="6"/>
      <c r="B8" s="2"/>
      <c r="D8" s="4"/>
      <c r="F8" s="5"/>
      <c r="H8" s="4"/>
    </row>
    <row r="9" spans="1:11" x14ac:dyDescent="0.3">
      <c r="B9" s="15">
        <v>1</v>
      </c>
      <c r="C9" s="16"/>
      <c r="D9" s="17" t="s">
        <v>4</v>
      </c>
      <c r="F9" s="18">
        <f>WC!E7*Ro</f>
        <v>13500000</v>
      </c>
    </row>
    <row r="10" spans="1:11" s="3" customFormat="1" ht="4.95" customHeight="1" x14ac:dyDescent="0.3">
      <c r="A10" s="6"/>
      <c r="B10" s="16"/>
      <c r="C10" s="16"/>
      <c r="D10" s="16"/>
      <c r="F10" s="19"/>
    </row>
    <row r="11" spans="1:11" x14ac:dyDescent="0.3">
      <c r="B11" s="15">
        <f>B9+1</f>
        <v>2</v>
      </c>
      <c r="C11" s="16"/>
      <c r="D11" s="17" t="s">
        <v>5</v>
      </c>
      <c r="F11" s="18">
        <f>WC!E8*Ro</f>
        <v>27000000</v>
      </c>
    </row>
    <row r="12" spans="1:11" s="3" customFormat="1" ht="4.95" customHeight="1" x14ac:dyDescent="0.3">
      <c r="A12" s="6"/>
      <c r="B12" s="16"/>
      <c r="C12" s="16"/>
      <c r="D12" s="16"/>
      <c r="F12" s="20"/>
      <c r="I12" s="4"/>
      <c r="J12" s="4"/>
      <c r="K12" s="4"/>
    </row>
    <row r="13" spans="1:11" s="3" customFormat="1" ht="13.2" customHeight="1" x14ac:dyDescent="0.3">
      <c r="A13" s="6"/>
      <c r="B13" s="15">
        <f>B11+1</f>
        <v>3</v>
      </c>
      <c r="C13" s="16"/>
      <c r="D13" s="17" t="s">
        <v>6</v>
      </c>
      <c r="F13" s="18">
        <f>WC!E9*Ro</f>
        <v>7500000</v>
      </c>
      <c r="I13" s="4"/>
      <c r="J13" s="4"/>
      <c r="K13" s="4"/>
    </row>
    <row r="14" spans="1:11" s="3" customFormat="1" ht="4.95" customHeight="1" x14ac:dyDescent="0.3">
      <c r="A14" s="6"/>
      <c r="B14" s="16"/>
      <c r="C14" s="16"/>
      <c r="D14" s="16"/>
      <c r="F14" s="20"/>
      <c r="I14" s="4"/>
      <c r="J14" s="4"/>
      <c r="K14" s="4"/>
    </row>
    <row r="15" spans="1:11" s="3" customFormat="1" ht="13.2" customHeight="1" x14ac:dyDescent="0.3">
      <c r="A15" s="6"/>
      <c r="B15" s="15">
        <f>B13+1</f>
        <v>4</v>
      </c>
      <c r="C15" s="16"/>
      <c r="D15" s="17" t="s">
        <v>7</v>
      </c>
      <c r="F15" s="18">
        <f>WC!E10*Ro</f>
        <v>15000000</v>
      </c>
      <c r="I15" s="4"/>
      <c r="J15" s="4"/>
      <c r="K15" s="4"/>
    </row>
    <row r="16" spans="1:11" s="3" customFormat="1" ht="4.95" customHeight="1" x14ac:dyDescent="0.3">
      <c r="A16" s="6"/>
      <c r="B16" s="16"/>
      <c r="C16" s="16"/>
      <c r="D16" s="16"/>
      <c r="F16" s="20"/>
      <c r="I16" s="4"/>
      <c r="J16" s="4"/>
      <c r="K16" s="4"/>
    </row>
    <row r="17" spans="1:8" x14ac:dyDescent="0.3">
      <c r="B17" s="441" t="s">
        <v>8</v>
      </c>
      <c r="C17" s="441"/>
      <c r="D17" s="441"/>
      <c r="E17" s="22"/>
      <c r="F17" s="23">
        <f>SUM(F9:F15)</f>
        <v>63000000</v>
      </c>
    </row>
    <row r="18" spans="1:8" s="3" customFormat="1" ht="4.95" customHeight="1" x14ac:dyDescent="0.3">
      <c r="A18" s="6"/>
      <c r="B18" s="2"/>
      <c r="D18" s="4"/>
      <c r="F18" s="5"/>
      <c r="H18" s="4"/>
    </row>
  </sheetData>
  <mergeCells count="1">
    <mergeCell ref="B17:D17"/>
  </mergeCells>
  <pageMargins left="0.70866141732283472" right="0.70866141732283472" top="0.74803149606299213" bottom="0.74803149606299213" header="0.31496062992125984" footer="0.31496062992125984"/>
  <pageSetup paperSize="9" fitToHeight="0" orientation="portrait" errors="blank" r:id="rId1"/>
  <headerFooter>
    <oddFooter>&amp;C&amp;"Ubuntu,Regular"&amp;K346D9CPage &amp;P of &amp;N</oddFooter>
  </headerFooter>
  <rowBreaks count="1" manualBreakCount="1">
    <brk id="4" min="1" max="5" man="1"/>
  </rowBreaks>
  <colBreaks count="1" manualBreakCount="1">
    <brk id="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A7FF-DDBE-4F03-8119-F0D439944782}">
  <sheetPr>
    <tabColor rgb="FF7030A0"/>
    <pageSetUpPr fitToPage="1"/>
  </sheetPr>
  <dimension ref="A1:AQ124"/>
  <sheetViews>
    <sheetView showGridLines="0" tabSelected="1" zoomScaleNormal="100" zoomScaleSheetLayoutView="100" workbookViewId="0"/>
  </sheetViews>
  <sheetFormatPr defaultColWidth="8.6640625" defaultRowHeight="14.4" x14ac:dyDescent="0.3"/>
  <cols>
    <col min="1" max="1" width="3.44140625" style="6" customWidth="1"/>
    <col min="2" max="2" width="6.44140625" style="4" bestFit="1" customWidth="1"/>
    <col min="3" max="3" width="0.77734375" style="4" customWidth="1"/>
    <col min="4" max="4" width="29.44140625" style="4" bestFit="1" customWidth="1"/>
    <col min="5" max="5" width="0.77734375" style="4" customWidth="1"/>
    <col min="6" max="6" width="13.77734375" style="24" bestFit="1" customWidth="1"/>
    <col min="7" max="10" width="10.77734375" style="24" bestFit="1" customWidth="1"/>
    <col min="11" max="15" width="10.77734375" style="4" customWidth="1"/>
    <col min="16" max="16" width="4.44140625" style="4" customWidth="1"/>
    <col min="17" max="17" width="15.5546875" style="4" bestFit="1" customWidth="1"/>
    <col min="18" max="23" width="4.44140625" style="4" customWidth="1"/>
    <col min="24" max="24" width="17.6640625" style="4" bestFit="1" customWidth="1"/>
    <col min="25" max="25" width="0.77734375" style="4" customWidth="1"/>
    <col min="26" max="26" width="7.77734375" style="4" bestFit="1" customWidth="1"/>
    <col min="27" max="27" width="0.77734375" style="4" customWidth="1"/>
    <col min="28" max="28" width="3.109375" style="4" bestFit="1" customWidth="1"/>
    <col min="29" max="29" width="0.77734375" style="4" customWidth="1"/>
    <col min="30" max="30" width="10.77734375" style="4" bestFit="1" customWidth="1"/>
    <col min="31" max="31" width="0.77734375" style="4" customWidth="1"/>
    <col min="32" max="32" width="10.77734375" style="4" bestFit="1" customWidth="1"/>
    <col min="33" max="33" width="0.77734375" style="4" customWidth="1"/>
    <col min="34" max="34" width="10.77734375" style="4" bestFit="1" customWidth="1"/>
    <col min="35" max="35" width="0.77734375" style="4" customWidth="1"/>
    <col min="36" max="16384" width="8.6640625" style="4"/>
  </cols>
  <sheetData>
    <row r="1" spans="1:43" ht="5.0999999999999996" customHeight="1" thickBot="1" x14ac:dyDescent="0.35">
      <c r="A1" s="1"/>
      <c r="F1" s="4"/>
      <c r="J1" s="3"/>
    </row>
    <row r="2" spans="1:43" ht="15" thickBot="1" x14ac:dyDescent="0.35">
      <c r="B2" s="25" t="s">
        <v>9</v>
      </c>
      <c r="C2" s="25"/>
      <c r="D2" s="25"/>
      <c r="E2" s="26"/>
      <c r="F2" s="27">
        <f t="shared" ref="F2:O2" si="0">F56-F32</f>
        <v>0</v>
      </c>
      <c r="G2" s="27">
        <f t="shared" si="0"/>
        <v>0</v>
      </c>
      <c r="H2" s="27">
        <f t="shared" si="0"/>
        <v>0</v>
      </c>
      <c r="I2" s="27">
        <f t="shared" si="0"/>
        <v>0</v>
      </c>
      <c r="J2" s="28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8">
        <f t="shared" si="0"/>
        <v>0</v>
      </c>
    </row>
    <row r="3" spans="1:43" ht="5.0999999999999996" customHeight="1" x14ac:dyDescent="0.3">
      <c r="F3" s="4"/>
      <c r="J3" s="3"/>
    </row>
    <row r="4" spans="1:43" ht="21" x14ac:dyDescent="0.3">
      <c r="B4" s="7" t="s">
        <v>10</v>
      </c>
      <c r="C4" s="9"/>
      <c r="D4" s="29"/>
      <c r="E4" s="9"/>
      <c r="F4" s="10"/>
      <c r="G4" s="10"/>
      <c r="H4" s="10"/>
      <c r="I4" s="10"/>
      <c r="J4" s="10"/>
      <c r="O4" s="24"/>
      <c r="X4" s="30"/>
    </row>
    <row r="5" spans="1:43" ht="18" customHeight="1" x14ac:dyDescent="0.3">
      <c r="B5" s="29"/>
      <c r="C5" s="9"/>
      <c r="D5" s="29"/>
      <c r="E5" s="9"/>
      <c r="F5" s="10"/>
      <c r="G5" s="10"/>
      <c r="H5" s="10"/>
      <c r="I5" s="10"/>
      <c r="J5" s="31"/>
      <c r="O5" s="31" t="str">
        <f>Do</f>
        <v>(₹ in Lakhs)</v>
      </c>
    </row>
    <row r="6" spans="1:43" ht="4.95" customHeight="1" x14ac:dyDescent="0.3"/>
    <row r="7" spans="1:43" x14ac:dyDescent="0.3">
      <c r="B7" s="32" t="s">
        <v>1</v>
      </c>
      <c r="D7" s="32" t="s">
        <v>2</v>
      </c>
      <c r="F7" s="14" t="s">
        <v>300</v>
      </c>
      <c r="G7" s="14" t="s">
        <v>301</v>
      </c>
      <c r="H7" s="14" t="s">
        <v>302</v>
      </c>
      <c r="I7" s="14" t="s">
        <v>304</v>
      </c>
      <c r="J7" s="14" t="s">
        <v>303</v>
      </c>
      <c r="K7" s="14" t="s">
        <v>484</v>
      </c>
      <c r="L7" s="14" t="s">
        <v>485</v>
      </c>
      <c r="M7" s="14" t="s">
        <v>486</v>
      </c>
      <c r="N7" s="14" t="s">
        <v>487</v>
      </c>
      <c r="O7" s="14" t="s">
        <v>488</v>
      </c>
    </row>
    <row r="8" spans="1:43" ht="4.95" customHeight="1" x14ac:dyDescent="0.3">
      <c r="K8" s="24"/>
      <c r="L8" s="24"/>
      <c r="M8" s="24"/>
      <c r="N8" s="24"/>
      <c r="O8" s="24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43" ht="15.6" x14ac:dyDescent="0.3">
      <c r="B9" s="443" t="s">
        <v>11</v>
      </c>
      <c r="C9" s="443"/>
      <c r="D9" s="443"/>
      <c r="K9" s="24"/>
      <c r="L9" s="24"/>
      <c r="M9" s="24"/>
      <c r="N9" s="24"/>
      <c r="O9" s="24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24"/>
    </row>
    <row r="10" spans="1:43" ht="4.95" customHeight="1" x14ac:dyDescent="0.3">
      <c r="K10" s="24"/>
      <c r="L10" s="24"/>
      <c r="M10" s="24"/>
      <c r="N10" s="24"/>
      <c r="O10" s="24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43" x14ac:dyDescent="0.3">
      <c r="B11" s="21" t="s">
        <v>12</v>
      </c>
      <c r="C11" s="33"/>
      <c r="D11" s="34" t="s">
        <v>13</v>
      </c>
      <c r="E11" s="33"/>
      <c r="F11" s="35">
        <f t="shared" ref="F11:O11" si="1">F13+F15+F17</f>
        <v>37.867463066362006</v>
      </c>
      <c r="G11" s="35">
        <f t="shared" si="1"/>
        <v>344.64373139150672</v>
      </c>
      <c r="H11" s="35">
        <f t="shared" si="1"/>
        <v>912.77286445436425</v>
      </c>
      <c r="I11" s="35">
        <f t="shared" si="1"/>
        <v>1750.526343765257</v>
      </c>
      <c r="J11" s="35">
        <f t="shared" si="1"/>
        <v>3600.6431061508197</v>
      </c>
      <c r="K11" s="35">
        <f t="shared" si="1"/>
        <v>5995.561855892176</v>
      </c>
      <c r="L11" s="35">
        <f t="shared" si="1"/>
        <v>9069.7513847424652</v>
      </c>
      <c r="M11" s="35">
        <f t="shared" si="1"/>
        <v>12972.938179844044</v>
      </c>
      <c r="N11" s="35">
        <f t="shared" si="1"/>
        <v>17845.024556495548</v>
      </c>
      <c r="O11" s="35">
        <f t="shared" si="1"/>
        <v>23852.185880472545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6"/>
    </row>
    <row r="12" spans="1:43" ht="4.95" customHeight="1" x14ac:dyDescent="0.3">
      <c r="B12" s="21"/>
      <c r="C12" s="33"/>
      <c r="D12" s="33"/>
      <c r="F12" s="37"/>
      <c r="G12" s="37"/>
      <c r="H12" s="37"/>
      <c r="I12" s="37"/>
      <c r="J12" s="37"/>
      <c r="K12" s="37"/>
      <c r="L12" s="37"/>
      <c r="M12" s="37"/>
      <c r="N12" s="37"/>
      <c r="O12" s="37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6"/>
    </row>
    <row r="13" spans="1:43" x14ac:dyDescent="0.3">
      <c r="B13" s="21"/>
      <c r="C13" s="33"/>
      <c r="D13" s="17" t="s">
        <v>517</v>
      </c>
      <c r="F13" s="38">
        <v>75</v>
      </c>
      <c r="G13" s="38">
        <f>F13</f>
        <v>75</v>
      </c>
      <c r="H13" s="38">
        <f t="shared" ref="H13:O13" si="2">G13</f>
        <v>75</v>
      </c>
      <c r="I13" s="38">
        <f t="shared" si="2"/>
        <v>75</v>
      </c>
      <c r="J13" s="38">
        <f t="shared" si="2"/>
        <v>75</v>
      </c>
      <c r="K13" s="38">
        <f t="shared" si="2"/>
        <v>75</v>
      </c>
      <c r="L13" s="38">
        <f t="shared" si="2"/>
        <v>75</v>
      </c>
      <c r="M13" s="38">
        <f t="shared" si="2"/>
        <v>75</v>
      </c>
      <c r="N13" s="38">
        <f t="shared" si="2"/>
        <v>75</v>
      </c>
      <c r="O13" s="38">
        <f t="shared" si="2"/>
        <v>75</v>
      </c>
      <c r="Q13" s="72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6"/>
    </row>
    <row r="14" spans="1:43" ht="4.95" customHeight="1" x14ac:dyDescent="0.3">
      <c r="B14" s="21"/>
      <c r="C14" s="33"/>
      <c r="D14" s="33"/>
      <c r="F14" s="37"/>
      <c r="G14" s="37"/>
      <c r="H14" s="37"/>
      <c r="I14" s="37"/>
      <c r="J14" s="37"/>
      <c r="K14" s="37"/>
      <c r="L14" s="37"/>
      <c r="M14" s="37"/>
      <c r="N14" s="37"/>
      <c r="O14" s="37"/>
      <c r="Q14" s="72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6"/>
    </row>
    <row r="15" spans="1:43" x14ac:dyDescent="0.3">
      <c r="B15" s="21"/>
      <c r="C15" s="33"/>
      <c r="D15" s="17" t="s">
        <v>14</v>
      </c>
      <c r="F15" s="38">
        <f>CFS!F30</f>
        <v>300</v>
      </c>
      <c r="G15" s="38">
        <f>F15+CFS!G30</f>
        <v>300</v>
      </c>
      <c r="H15" s="38">
        <f>G15+CFS!H30</f>
        <v>300</v>
      </c>
      <c r="I15" s="38">
        <f>H15+CFS!I30</f>
        <v>300</v>
      </c>
      <c r="J15" s="38">
        <f>I15+CFS!J30</f>
        <v>300</v>
      </c>
      <c r="K15" s="38">
        <f>J15+CFS!K30</f>
        <v>300</v>
      </c>
      <c r="L15" s="38">
        <f>K15+CFS!L30</f>
        <v>300</v>
      </c>
      <c r="M15" s="38">
        <f>L15+CFS!M30</f>
        <v>300</v>
      </c>
      <c r="N15" s="38">
        <f>M15+CFS!N30</f>
        <v>300</v>
      </c>
      <c r="O15" s="38">
        <f>N15+CFS!O30</f>
        <v>300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6"/>
    </row>
    <row r="16" spans="1:43" ht="4.95" customHeight="1" x14ac:dyDescent="0.3">
      <c r="B16" s="21"/>
      <c r="C16" s="33"/>
      <c r="D16" s="33"/>
      <c r="F16" s="37"/>
      <c r="G16" s="37"/>
      <c r="H16" s="37"/>
      <c r="I16" s="37"/>
      <c r="J16" s="37"/>
      <c r="K16" s="37"/>
      <c r="L16" s="37"/>
      <c r="M16" s="37"/>
      <c r="N16" s="37"/>
      <c r="O16" s="37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6"/>
      <c r="AQ16" s="33"/>
    </row>
    <row r="17" spans="2:35" x14ac:dyDescent="0.3">
      <c r="B17" s="21"/>
      <c r="C17" s="33"/>
      <c r="D17" s="17" t="s">
        <v>15</v>
      </c>
      <c r="F17" s="38">
        <f>'P&amp;L'!F56+(-30491587.8/10^5)</f>
        <v>-337.13253693363799</v>
      </c>
      <c r="G17" s="38">
        <f>'P&amp;L'!G56+F17</f>
        <v>-30.356268608493281</v>
      </c>
      <c r="H17" s="38">
        <f>'P&amp;L'!H56+G17</f>
        <v>537.77286445436425</v>
      </c>
      <c r="I17" s="38">
        <f>'P&amp;L'!I56+H17</f>
        <v>1375.526343765257</v>
      </c>
      <c r="J17" s="38">
        <f>'P&amp;L'!J56+I17</f>
        <v>3225.6431061508197</v>
      </c>
      <c r="K17" s="38">
        <f>'P&amp;L'!K56+J17</f>
        <v>5620.561855892176</v>
      </c>
      <c r="L17" s="38">
        <f>'P&amp;L'!L56+K17</f>
        <v>8694.7513847424652</v>
      </c>
      <c r="M17" s="38">
        <f>'P&amp;L'!M56+L17</f>
        <v>12597.938179844044</v>
      </c>
      <c r="N17" s="38">
        <f>'P&amp;L'!N56+M17</f>
        <v>17470.024556495548</v>
      </c>
      <c r="O17" s="38">
        <f>'P&amp;L'!O56+N17</f>
        <v>23477.185880472545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6"/>
    </row>
    <row r="18" spans="2:35" customFormat="1" x14ac:dyDescent="0.3"/>
    <row r="19" spans="2:35" x14ac:dyDescent="0.3">
      <c r="B19" s="21" t="s">
        <v>16</v>
      </c>
      <c r="C19" s="33"/>
      <c r="D19" s="34" t="s">
        <v>17</v>
      </c>
      <c r="E19" s="33"/>
      <c r="F19" s="35">
        <f>'Debt Schedule'!C70</f>
        <v>2433.8957043435653</v>
      </c>
      <c r="G19" s="35">
        <f>'Debt Schedule'!D70</f>
        <v>2168.9448278212117</v>
      </c>
      <c r="H19" s="35">
        <f>'Debt Schedule'!E70</f>
        <v>1884.5932248477386</v>
      </c>
      <c r="I19" s="35">
        <f>'Debt Schedule'!F70</f>
        <v>1579.2755710440867</v>
      </c>
      <c r="J19" s="35">
        <f>'Debt Schedule'!G70</f>
        <v>1253.2398319872789</v>
      </c>
      <c r="K19" s="35">
        <f>'Debt Schedule'!H70</f>
        <v>968.47481787814297</v>
      </c>
      <c r="L19" s="35">
        <f>'Debt Schedule'!I70</f>
        <v>665.48845037298349</v>
      </c>
      <c r="M19" s="35">
        <f>'Debt Schedule'!J70</f>
        <v>343.08800957701044</v>
      </c>
      <c r="N19" s="35">
        <f>'Debt Schedule'!K70</f>
        <v>1.3855583347321954E-13</v>
      </c>
      <c r="O19" s="35">
        <f>'Debt Schedule'!L70</f>
        <v>1.5254464358349651E-13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2:35" x14ac:dyDescent="0.3">
      <c r="B20" s="39"/>
      <c r="C20" s="33"/>
      <c r="D20" s="33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1" spans="2:35" x14ac:dyDescent="0.3">
      <c r="B21" s="21" t="s">
        <v>18</v>
      </c>
      <c r="C21" s="33"/>
      <c r="D21" s="34" t="s">
        <v>19</v>
      </c>
      <c r="E21" s="33"/>
      <c r="F21" s="35">
        <f t="shared" ref="F21:O21" si="3">SUM(F22:F29)</f>
        <v>584.4074499530343</v>
      </c>
      <c r="G21" s="35">
        <f t="shared" si="3"/>
        <v>756.21774319301198</v>
      </c>
      <c r="H21" s="35">
        <f t="shared" si="3"/>
        <v>1081.6338236082674</v>
      </c>
      <c r="I21" s="35">
        <f t="shared" si="3"/>
        <v>1551.5689112850328</v>
      </c>
      <c r="J21" s="35">
        <f t="shared" si="3"/>
        <v>1490.3970753639278</v>
      </c>
      <c r="K21" s="35">
        <f t="shared" si="3"/>
        <v>1776.6573575770553</v>
      </c>
      <c r="L21" s="35">
        <f t="shared" si="3"/>
        <v>2122.5867359857384</v>
      </c>
      <c r="M21" s="35">
        <f t="shared" si="3"/>
        <v>2542.9616907197769</v>
      </c>
      <c r="N21" s="35">
        <f t="shared" si="3"/>
        <v>3034.8757711238518</v>
      </c>
      <c r="O21" s="35">
        <f t="shared" si="3"/>
        <v>3247.1476608503617</v>
      </c>
    </row>
    <row r="22" spans="2:35" ht="4.95" customHeight="1" x14ac:dyDescent="0.3">
      <c r="B22" s="21"/>
      <c r="C22" s="33"/>
      <c r="D22" s="33"/>
      <c r="F22" s="37"/>
      <c r="G22" s="37"/>
      <c r="H22" s="37"/>
      <c r="I22" s="37"/>
      <c r="J22" s="37"/>
      <c r="K22" s="37"/>
      <c r="L22" s="37"/>
      <c r="M22" s="37"/>
      <c r="N22" s="37"/>
      <c r="O22" s="37"/>
      <c r="AB22" s="40"/>
    </row>
    <row r="23" spans="2:35" x14ac:dyDescent="0.3">
      <c r="B23" s="17"/>
      <c r="C23" s="33"/>
      <c r="D23" s="17" t="s">
        <v>20</v>
      </c>
      <c r="F23" s="38">
        <f>WC!E38</f>
        <v>7.463013698630137</v>
      </c>
      <c r="G23" s="38">
        <f>WC!F38</f>
        <v>29.833972602739731</v>
      </c>
      <c r="H23" s="38">
        <f>WC!G38</f>
        <v>49.825890410958905</v>
      </c>
      <c r="I23" s="38">
        <f>WC!H38</f>
        <v>73.479587671232892</v>
      </c>
      <c r="J23" s="38">
        <f>WC!I38</f>
        <v>105.49537335616441</v>
      </c>
      <c r="K23" s="38">
        <f>WC!J38</f>
        <v>135.54124307876714</v>
      </c>
      <c r="L23" s="38">
        <f>WC!K38</f>
        <v>172.13321990188359</v>
      </c>
      <c r="M23" s="38">
        <f>WC!L38</f>
        <v>217.80955866598464</v>
      </c>
      <c r="N23" s="38">
        <f>WC!M38</f>
        <v>273.79339248191229</v>
      </c>
      <c r="O23" s="38">
        <f>WC!N38</f>
        <v>342.69260007450572</v>
      </c>
      <c r="X23" s="41" t="s">
        <v>21</v>
      </c>
      <c r="Z23" s="42">
        <v>0</v>
      </c>
    </row>
    <row r="24" spans="2:35" ht="4.95" customHeight="1" x14ac:dyDescent="0.3">
      <c r="B24" s="21"/>
      <c r="C24" s="33"/>
      <c r="D24" s="33"/>
      <c r="F24" s="37"/>
      <c r="G24" s="37"/>
      <c r="H24" s="37"/>
      <c r="I24" s="37"/>
      <c r="J24" s="37"/>
      <c r="K24" s="37"/>
      <c r="L24" s="37"/>
      <c r="M24" s="37"/>
      <c r="N24" s="37"/>
      <c r="O24" s="37"/>
      <c r="AB24" s="40"/>
    </row>
    <row r="25" spans="2:35" ht="12" customHeight="1" x14ac:dyDescent="0.3">
      <c r="B25" s="21"/>
      <c r="C25" s="33"/>
      <c r="D25" s="17" t="s">
        <v>22</v>
      </c>
      <c r="F25" s="38">
        <f>(31476895.65+1518839.4)/100000</f>
        <v>329.95735049999996</v>
      </c>
      <c r="G25" s="38">
        <f t="shared" ref="G25:O25" si="4">F25</f>
        <v>329.95735049999996</v>
      </c>
      <c r="H25" s="38">
        <f t="shared" si="4"/>
        <v>329.95735049999996</v>
      </c>
      <c r="I25" s="38">
        <f t="shared" si="4"/>
        <v>329.95735049999996</v>
      </c>
      <c r="J25" s="38">
        <f t="shared" si="4"/>
        <v>329.95735049999996</v>
      </c>
      <c r="K25" s="38">
        <f t="shared" si="4"/>
        <v>329.95735049999996</v>
      </c>
      <c r="L25" s="38">
        <f t="shared" si="4"/>
        <v>329.95735049999996</v>
      </c>
      <c r="M25" s="38">
        <f t="shared" si="4"/>
        <v>329.95735049999996</v>
      </c>
      <c r="N25" s="38">
        <f t="shared" si="4"/>
        <v>329.95735049999996</v>
      </c>
      <c r="O25" s="38">
        <f t="shared" si="4"/>
        <v>329.95735049999996</v>
      </c>
      <c r="AB25" s="40"/>
    </row>
    <row r="26" spans="2:35" ht="4.95" customHeight="1" x14ac:dyDescent="0.3">
      <c r="B26" s="21"/>
      <c r="C26" s="33"/>
      <c r="D26" s="33"/>
      <c r="F26" s="37"/>
      <c r="G26" s="37"/>
      <c r="H26" s="37"/>
      <c r="I26" s="37"/>
      <c r="J26" s="37"/>
      <c r="K26" s="37"/>
      <c r="L26" s="37"/>
      <c r="M26" s="37"/>
      <c r="N26" s="37"/>
      <c r="O26" s="37"/>
      <c r="AB26" s="40"/>
    </row>
    <row r="27" spans="2:35" ht="13.2" customHeight="1" x14ac:dyDescent="0.3">
      <c r="B27" s="21"/>
      <c r="C27" s="33"/>
      <c r="D27" s="17" t="s">
        <v>498</v>
      </c>
      <c r="F27" s="38">
        <f>'Debt Schedule'!C69</f>
        <v>246.98708575440423</v>
      </c>
      <c r="G27" s="38">
        <f>'Debt Schedule'!D69</f>
        <v>264.95087652235321</v>
      </c>
      <c r="H27" s="38">
        <f>'Debt Schedule'!E69</f>
        <v>284.35160297347295</v>
      </c>
      <c r="I27" s="38">
        <f>'Debt Schedule'!F69</f>
        <v>305.31765380365187</v>
      </c>
      <c r="J27" s="38">
        <f>'Debt Schedule'!G69</f>
        <v>326.03573905680804</v>
      </c>
      <c r="K27" s="38">
        <f>'Debt Schedule'!H69</f>
        <v>284.76501410913562</v>
      </c>
      <c r="L27" s="38">
        <f>'Debt Schedule'!I69</f>
        <v>302.98636750515976</v>
      </c>
      <c r="M27" s="38">
        <f>'Debt Schedule'!J69</f>
        <v>322.40044079597305</v>
      </c>
      <c r="N27" s="38">
        <f>'Debt Schedule'!K69</f>
        <v>343.08800957701021</v>
      </c>
      <c r="O27" s="38">
        <f>'Debt Schedule'!L69</f>
        <v>0</v>
      </c>
      <c r="AB27" s="40"/>
    </row>
    <row r="28" spans="2:35" ht="4.95" customHeight="1" x14ac:dyDescent="0.3">
      <c r="B28" s="21"/>
      <c r="C28" s="33"/>
      <c r="D28" s="33"/>
      <c r="F28" s="37"/>
      <c r="G28" s="37"/>
      <c r="H28" s="37"/>
      <c r="I28" s="37"/>
      <c r="J28" s="37"/>
      <c r="K28" s="37"/>
      <c r="L28" s="37"/>
      <c r="M28" s="37"/>
      <c r="N28" s="37"/>
      <c r="O28" s="37"/>
      <c r="AB28" s="40"/>
    </row>
    <row r="29" spans="2:35" x14ac:dyDescent="0.3">
      <c r="B29" s="17"/>
      <c r="C29" s="33"/>
      <c r="D29" s="17" t="s">
        <v>23</v>
      </c>
      <c r="F29" s="38">
        <f>'P&amp;L'!F54</f>
        <v>0</v>
      </c>
      <c r="G29" s="38">
        <f>'P&amp;L'!G54</f>
        <v>131.47554356791915</v>
      </c>
      <c r="H29" s="38">
        <f>'P&amp;L'!H54</f>
        <v>417.4989797238357</v>
      </c>
      <c r="I29" s="38">
        <f>'P&amp;L'!I54</f>
        <v>842.81431931014799</v>
      </c>
      <c r="J29" s="38">
        <f>'P&amp;L'!J54</f>
        <v>728.90861245095539</v>
      </c>
      <c r="K29" s="38">
        <f>'P&amp;L'!K54</f>
        <v>1026.3937498891526</v>
      </c>
      <c r="L29" s="38">
        <f>'P&amp;L'!L54</f>
        <v>1317.5097980786952</v>
      </c>
      <c r="M29" s="38">
        <f>'P&amp;L'!M54</f>
        <v>1672.7943407578196</v>
      </c>
      <c r="N29" s="38">
        <f>'P&amp;L'!N54</f>
        <v>2088.0370185649294</v>
      </c>
      <c r="O29" s="38">
        <f>'P&amp;L'!O54</f>
        <v>2574.4977102758558</v>
      </c>
      <c r="X29" s="3"/>
      <c r="AB29" s="40"/>
    </row>
    <row r="30" spans="2:35" x14ac:dyDescent="0.3">
      <c r="B30" s="33"/>
      <c r="C30" s="33"/>
      <c r="D30" s="33"/>
      <c r="F30" s="37"/>
      <c r="G30" s="37"/>
      <c r="H30" s="37"/>
      <c r="I30" s="37"/>
      <c r="J30" s="37"/>
      <c r="K30" s="37"/>
      <c r="L30" s="37"/>
      <c r="M30" s="37"/>
      <c r="N30" s="37"/>
      <c r="O30" s="37"/>
    </row>
    <row r="31" spans="2:35" ht="4.95" customHeight="1" x14ac:dyDescent="0.3">
      <c r="B31" s="39"/>
      <c r="C31" s="33"/>
      <c r="D31" s="33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2:35" ht="18" customHeight="1" x14ac:dyDescent="0.3">
      <c r="B32" s="17"/>
      <c r="C32" s="17"/>
      <c r="D32" s="34" t="s">
        <v>24</v>
      </c>
      <c r="E32" s="33"/>
      <c r="F32" s="35">
        <f t="shared" ref="F32:O32" si="5">F11+F19+F21</f>
        <v>3056.1706173629618</v>
      </c>
      <c r="G32" s="35">
        <f t="shared" si="5"/>
        <v>3269.8063024057301</v>
      </c>
      <c r="H32" s="35">
        <f t="shared" si="5"/>
        <v>3878.9999129103703</v>
      </c>
      <c r="I32" s="35">
        <f t="shared" si="5"/>
        <v>4881.3708260943768</v>
      </c>
      <c r="J32" s="35">
        <f t="shared" si="5"/>
        <v>6344.2800135020261</v>
      </c>
      <c r="K32" s="35">
        <f t="shared" si="5"/>
        <v>8740.6940313473751</v>
      </c>
      <c r="L32" s="35">
        <f t="shared" si="5"/>
        <v>11857.826571101186</v>
      </c>
      <c r="M32" s="35">
        <f t="shared" si="5"/>
        <v>15858.98788014083</v>
      </c>
      <c r="N32" s="35">
        <f t="shared" si="5"/>
        <v>20879.900327619398</v>
      </c>
      <c r="O32" s="35">
        <f t="shared" si="5"/>
        <v>27099.333541322907</v>
      </c>
    </row>
    <row r="33" spans="2:15" ht="4.95" customHeight="1" x14ac:dyDescent="0.3">
      <c r="B33" s="39"/>
      <c r="C33" s="33"/>
      <c r="D33" s="33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2:15" x14ac:dyDescent="0.3">
      <c r="F34" s="37"/>
      <c r="G34" s="37"/>
      <c r="H34" s="37"/>
      <c r="I34" s="37"/>
      <c r="J34" s="37"/>
      <c r="K34" s="37"/>
      <c r="L34" s="37"/>
      <c r="M34" s="37"/>
      <c r="N34" s="37"/>
      <c r="O34" s="37"/>
    </row>
    <row r="35" spans="2:15" ht="4.95" customHeight="1" x14ac:dyDescent="0.3">
      <c r="B35" s="43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2:15" ht="15.6" x14ac:dyDescent="0.3">
      <c r="B36" s="443" t="s">
        <v>25</v>
      </c>
      <c r="C36" s="443"/>
      <c r="D36" s="443"/>
      <c r="F36" s="37" t="s">
        <v>26</v>
      </c>
      <c r="G36" s="37"/>
      <c r="H36" s="37"/>
      <c r="I36" s="37"/>
      <c r="J36" s="37"/>
      <c r="K36" s="37"/>
      <c r="L36" s="37"/>
      <c r="M36" s="37"/>
      <c r="N36" s="37"/>
      <c r="O36" s="37"/>
    </row>
    <row r="37" spans="2:15" ht="4.95" customHeight="1" x14ac:dyDescent="0.3">
      <c r="B37" s="43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2:15" x14ac:dyDescent="0.3">
      <c r="B38" s="21" t="s">
        <v>30</v>
      </c>
      <c r="C38" s="33"/>
      <c r="D38" s="34" t="s">
        <v>27</v>
      </c>
      <c r="E38" s="33"/>
      <c r="F38" s="35">
        <f t="shared" ref="F38:O38" si="6">SUM(F40:F42)</f>
        <v>165.90675036888183</v>
      </c>
      <c r="G38" s="35">
        <f t="shared" si="6"/>
        <v>190.05383803415617</v>
      </c>
      <c r="H38" s="35">
        <f t="shared" si="6"/>
        <v>220.08457396679313</v>
      </c>
      <c r="I38" s="35">
        <f t="shared" si="6"/>
        <v>263.41938176912879</v>
      </c>
      <c r="J38" s="35">
        <f t="shared" si="6"/>
        <v>304.27090545622053</v>
      </c>
      <c r="K38" s="35">
        <f t="shared" si="6"/>
        <v>338.01830118475817</v>
      </c>
      <c r="L38" s="35">
        <f t="shared" si="6"/>
        <v>396.15422198625009</v>
      </c>
      <c r="M38" s="35">
        <f t="shared" si="6"/>
        <v>443.90101124772298</v>
      </c>
      <c r="N38" s="35">
        <f t="shared" si="6"/>
        <v>503.57321764368777</v>
      </c>
      <c r="O38" s="35">
        <f t="shared" si="6"/>
        <v>597.55329315888366</v>
      </c>
    </row>
    <row r="39" spans="2:15" ht="4.95" customHeight="1" x14ac:dyDescent="0.3">
      <c r="B39" s="21"/>
      <c r="C39" s="33"/>
      <c r="D39" s="33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2:15" x14ac:dyDescent="0.3">
      <c r="B40" s="21"/>
      <c r="C40" s="33"/>
      <c r="D40" s="17" t="s">
        <v>28</v>
      </c>
      <c r="F40" s="38">
        <f>DAS!F90</f>
        <v>142.86852036888183</v>
      </c>
      <c r="G40" s="38">
        <f>DAS!H90</f>
        <v>167.01560803415617</v>
      </c>
      <c r="H40" s="38">
        <f>DAS!J90</f>
        <v>197.04634396679313</v>
      </c>
      <c r="I40" s="38">
        <f>DAS!L90</f>
        <v>240.38115176912876</v>
      </c>
      <c r="J40" s="38">
        <f>DAS!N90</f>
        <v>281.23267545622053</v>
      </c>
      <c r="K40" s="38">
        <f>DAS!P90</f>
        <v>314.98007118475817</v>
      </c>
      <c r="L40" s="38">
        <f>DAS!R90</f>
        <v>373.11599198625009</v>
      </c>
      <c r="M40" s="38">
        <f>DAS!T90</f>
        <v>420.86278124772298</v>
      </c>
      <c r="N40" s="38">
        <f>DAS!V90</f>
        <v>480.53498764368777</v>
      </c>
      <c r="O40" s="38">
        <f>DAS!X90</f>
        <v>574.51506315888366</v>
      </c>
    </row>
    <row r="41" spans="2:15" ht="4.95" customHeight="1" x14ac:dyDescent="0.3">
      <c r="B41" s="21"/>
      <c r="C41" s="33"/>
      <c r="D41" s="33"/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2:15" x14ac:dyDescent="0.3">
      <c r="B42" s="21"/>
      <c r="C42" s="33"/>
      <c r="D42" s="17" t="s">
        <v>29</v>
      </c>
      <c r="F42" s="38">
        <f>(145000+333223+1825600)/100000</f>
        <v>23.038229999999999</v>
      </c>
      <c r="G42" s="38">
        <f t="shared" ref="G42:O42" si="7">F42</f>
        <v>23.038229999999999</v>
      </c>
      <c r="H42" s="38">
        <f t="shared" si="7"/>
        <v>23.038229999999999</v>
      </c>
      <c r="I42" s="38">
        <f t="shared" si="7"/>
        <v>23.038229999999999</v>
      </c>
      <c r="J42" s="38">
        <f t="shared" si="7"/>
        <v>23.038229999999999</v>
      </c>
      <c r="K42" s="38">
        <f t="shared" si="7"/>
        <v>23.038229999999999</v>
      </c>
      <c r="L42" s="38">
        <f t="shared" si="7"/>
        <v>23.038229999999999</v>
      </c>
      <c r="M42" s="38">
        <f t="shared" si="7"/>
        <v>23.038229999999999</v>
      </c>
      <c r="N42" s="38">
        <f t="shared" si="7"/>
        <v>23.038229999999999</v>
      </c>
      <c r="O42" s="38">
        <f t="shared" si="7"/>
        <v>23.038229999999999</v>
      </c>
    </row>
    <row r="43" spans="2:15" x14ac:dyDescent="0.3">
      <c r="B43" s="39"/>
      <c r="C43" s="33"/>
      <c r="D43" s="33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2:15" ht="4.95" customHeight="1" x14ac:dyDescent="0.3">
      <c r="B44" s="39"/>
      <c r="C44" s="33"/>
      <c r="D44" s="33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spans="2:15" x14ac:dyDescent="0.3">
      <c r="B45" s="21" t="s">
        <v>103</v>
      </c>
      <c r="C45" s="33"/>
      <c r="D45" s="34" t="s">
        <v>31</v>
      </c>
      <c r="E45" s="33"/>
      <c r="F45" s="35">
        <f t="shared" ref="F45:O45" si="8">SUM(F46:F53)</f>
        <v>2890.2638669940802</v>
      </c>
      <c r="G45" s="35">
        <f t="shared" si="8"/>
        <v>3079.7524643715751</v>
      </c>
      <c r="H45" s="35">
        <f t="shared" si="8"/>
        <v>3658.9153389435783</v>
      </c>
      <c r="I45" s="35">
        <f t="shared" si="8"/>
        <v>4617.9514443252492</v>
      </c>
      <c r="J45" s="35">
        <f t="shared" si="8"/>
        <v>6040.0091080458069</v>
      </c>
      <c r="K45" s="35">
        <f t="shared" si="8"/>
        <v>8402.6757301626167</v>
      </c>
      <c r="L45" s="35">
        <f t="shared" si="8"/>
        <v>11461.672349114939</v>
      </c>
      <c r="M45" s="35">
        <f t="shared" si="8"/>
        <v>15415.086868893111</v>
      </c>
      <c r="N45" s="35">
        <f t="shared" si="8"/>
        <v>20376.327109975715</v>
      </c>
      <c r="O45" s="35">
        <f t="shared" si="8"/>
        <v>26501.780248164025</v>
      </c>
    </row>
    <row r="46" spans="2:15" ht="4.95" customHeight="1" x14ac:dyDescent="0.3">
      <c r="B46" s="21"/>
      <c r="C46" s="33"/>
      <c r="D46" s="33"/>
      <c r="F46" s="37"/>
      <c r="G46" s="37"/>
      <c r="H46" s="37"/>
      <c r="I46" s="37"/>
      <c r="J46" s="37"/>
      <c r="K46" s="37"/>
      <c r="L46" s="37"/>
      <c r="M46" s="37"/>
      <c r="N46" s="37"/>
      <c r="O46" s="37"/>
    </row>
    <row r="47" spans="2:15" x14ac:dyDescent="0.3">
      <c r="B47" s="17"/>
      <c r="C47" s="33"/>
      <c r="D47" s="17" t="s">
        <v>32</v>
      </c>
      <c r="F47" s="38">
        <f>WC!E52</f>
        <v>33.583561643835608</v>
      </c>
      <c r="G47" s="38">
        <f>WC!F52</f>
        <v>134.25287671232877</v>
      </c>
      <c r="H47" s="38">
        <f>WC!G52</f>
        <v>224.2165068493151</v>
      </c>
      <c r="I47" s="38">
        <f>WC!H52</f>
        <v>330.65814452054798</v>
      </c>
      <c r="J47" s="38">
        <f>WC!I52</f>
        <v>474.7291801027398</v>
      </c>
      <c r="K47" s="38">
        <f>WC!J52</f>
        <v>609.93559385445212</v>
      </c>
      <c r="L47" s="38">
        <f>WC!K52</f>
        <v>774.59948955847619</v>
      </c>
      <c r="M47" s="38">
        <f>WC!L52</f>
        <v>980.1430139969309</v>
      </c>
      <c r="N47" s="38">
        <f>WC!M52</f>
        <v>1232.0702661686053</v>
      </c>
      <c r="O47" s="38">
        <f>WC!N52</f>
        <v>1542.1167003352759</v>
      </c>
    </row>
    <row r="48" spans="2:15" ht="4.95" customHeight="1" x14ac:dyDescent="0.3">
      <c r="B48" s="21"/>
      <c r="C48" s="33"/>
      <c r="D48" s="33"/>
      <c r="F48" s="37"/>
      <c r="G48" s="37"/>
      <c r="H48" s="37"/>
      <c r="I48" s="37"/>
      <c r="J48" s="37"/>
      <c r="K48" s="37"/>
      <c r="L48" s="37"/>
      <c r="M48" s="37"/>
      <c r="N48" s="37"/>
      <c r="O48" s="37"/>
    </row>
    <row r="49" spans="2:26" x14ac:dyDescent="0.3">
      <c r="B49" s="17"/>
      <c r="C49" s="33"/>
      <c r="D49" s="17" t="s">
        <v>33</v>
      </c>
      <c r="F49" s="38">
        <f>WC!E24</f>
        <v>51.780821917808225</v>
      </c>
      <c r="G49" s="38">
        <f>WC!F24</f>
        <v>177.04109589041096</v>
      </c>
      <c r="H49" s="38">
        <f>WC!G24</f>
        <v>313.64383561643837</v>
      </c>
      <c r="I49" s="38">
        <f>WC!H24</f>
        <v>488.39054794520558</v>
      </c>
      <c r="J49" s="38">
        <f>WC!I24</f>
        <v>713.66985616438376</v>
      </c>
      <c r="K49" s="38">
        <f>WC!J24</f>
        <v>928.37101746575377</v>
      </c>
      <c r="L49" s="38">
        <f>WC!K24</f>
        <v>1179.4466476541102</v>
      </c>
      <c r="M49" s="38">
        <f>WC!L24</f>
        <v>1487.0456106703773</v>
      </c>
      <c r="N49" s="38">
        <f>WC!M24</f>
        <v>1849.3950532835197</v>
      </c>
      <c r="O49" s="38">
        <f>WC!N24</f>
        <v>2278.5080241407177</v>
      </c>
      <c r="X49" s="41" t="s">
        <v>34</v>
      </c>
      <c r="Z49" s="42">
        <v>0</v>
      </c>
    </row>
    <row r="50" spans="2:26" ht="4.95" customHeight="1" x14ac:dyDescent="0.3">
      <c r="B50" s="21"/>
      <c r="C50" s="33"/>
      <c r="D50" s="33"/>
      <c r="F50" s="37"/>
      <c r="G50" s="37"/>
      <c r="H50" s="37"/>
      <c r="I50" s="37"/>
      <c r="J50" s="37"/>
      <c r="K50" s="37"/>
      <c r="L50" s="37"/>
      <c r="M50" s="37"/>
      <c r="N50" s="37"/>
      <c r="O50" s="37"/>
    </row>
    <row r="51" spans="2:26" x14ac:dyDescent="0.3">
      <c r="B51" s="17"/>
      <c r="C51" s="33"/>
      <c r="D51" s="17" t="s">
        <v>35</v>
      </c>
      <c r="F51" s="38">
        <f>CFS!F58</f>
        <v>2738.0138745324361</v>
      </c>
      <c r="G51" s="38">
        <f>CFS!G58</f>
        <v>2701.5728828688352</v>
      </c>
      <c r="H51" s="38">
        <f>CFS!H58</f>
        <v>3054.1693875778246</v>
      </c>
      <c r="I51" s="38">
        <f>CFS!I58</f>
        <v>3732.0171429594952</v>
      </c>
      <c r="J51" s="38">
        <f>CFS!J58</f>
        <v>4784.724462878683</v>
      </c>
      <c r="K51" s="38">
        <f>CFS!K58</f>
        <v>6797.4835099424108</v>
      </c>
      <c r="L51" s="38">
        <f>CFS!L58</f>
        <v>9440.7406030023521</v>
      </c>
      <c r="M51" s="38">
        <f>CFS!M58</f>
        <v>12881.012635325802</v>
      </c>
      <c r="N51" s="38">
        <f>CFS!N58</f>
        <v>17227.976181623588</v>
      </c>
      <c r="O51" s="38">
        <f>CFS!O58</f>
        <v>22614.26991478803</v>
      </c>
    </row>
    <row r="52" spans="2:26" ht="4.95" customHeight="1" x14ac:dyDescent="0.3">
      <c r="B52" s="21"/>
      <c r="C52" s="33"/>
      <c r="D52" s="33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2:26" x14ac:dyDescent="0.3">
      <c r="B53" s="17"/>
      <c r="C53" s="33"/>
      <c r="D53" s="17" t="s">
        <v>36</v>
      </c>
      <c r="F53" s="38">
        <f>(6617160.89+71400)/100000</f>
        <v>66.885608899999994</v>
      </c>
      <c r="G53" s="38">
        <f t="shared" ref="G53:O53" si="9">F53</f>
        <v>66.885608899999994</v>
      </c>
      <c r="H53" s="38">
        <f t="shared" si="9"/>
        <v>66.885608899999994</v>
      </c>
      <c r="I53" s="38">
        <f t="shared" si="9"/>
        <v>66.885608899999994</v>
      </c>
      <c r="J53" s="38">
        <f t="shared" si="9"/>
        <v>66.885608899999994</v>
      </c>
      <c r="K53" s="38">
        <f t="shared" si="9"/>
        <v>66.885608899999994</v>
      </c>
      <c r="L53" s="38">
        <f t="shared" si="9"/>
        <v>66.885608899999994</v>
      </c>
      <c r="M53" s="38">
        <f t="shared" si="9"/>
        <v>66.885608899999994</v>
      </c>
      <c r="N53" s="38">
        <f t="shared" si="9"/>
        <v>66.885608899999994</v>
      </c>
      <c r="O53" s="38">
        <f t="shared" si="9"/>
        <v>66.885608899999994</v>
      </c>
      <c r="X53" s="41" t="s">
        <v>37</v>
      </c>
    </row>
    <row r="54" spans="2:26" x14ac:dyDescent="0.3">
      <c r="B54" s="33"/>
      <c r="C54" s="33"/>
      <c r="D54" s="33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2:26" ht="4.95" customHeight="1" x14ac:dyDescent="0.3">
      <c r="B55" s="39"/>
      <c r="C55" s="33"/>
      <c r="D55" s="33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spans="2:26" ht="18" customHeight="1" x14ac:dyDescent="0.3">
      <c r="B56" s="17"/>
      <c r="C56" s="17"/>
      <c r="D56" s="34" t="s">
        <v>38</v>
      </c>
      <c r="E56" s="33"/>
      <c r="F56" s="35">
        <f>F38+F45</f>
        <v>3056.1706173629618</v>
      </c>
      <c r="G56" s="35">
        <f t="shared" ref="G56:O56" si="10">G38+G45</f>
        <v>3269.8063024057315</v>
      </c>
      <c r="H56" s="35">
        <f t="shared" si="10"/>
        <v>3878.9999129103712</v>
      </c>
      <c r="I56" s="35">
        <f t="shared" si="10"/>
        <v>4881.3708260943777</v>
      </c>
      <c r="J56" s="35">
        <f t="shared" si="10"/>
        <v>6344.280013502027</v>
      </c>
      <c r="K56" s="35">
        <f t="shared" si="10"/>
        <v>8740.6940313473751</v>
      </c>
      <c r="L56" s="35">
        <f t="shared" si="10"/>
        <v>11857.826571101188</v>
      </c>
      <c r="M56" s="35">
        <f t="shared" si="10"/>
        <v>15858.987880140834</v>
      </c>
      <c r="N56" s="35">
        <f t="shared" si="10"/>
        <v>20879.900327619402</v>
      </c>
      <c r="O56" s="35">
        <f t="shared" si="10"/>
        <v>27099.333541322907</v>
      </c>
    </row>
    <row r="57" spans="2:26" ht="17.399999999999999" customHeight="1" x14ac:dyDescent="0.3">
      <c r="B57" s="43"/>
      <c r="F57" s="416">
        <f>F56-F32</f>
        <v>0</v>
      </c>
      <c r="G57" s="416">
        <f t="shared" ref="G57:O57" si="11">G56-G32</f>
        <v>0</v>
      </c>
      <c r="H57" s="416">
        <f t="shared" si="11"/>
        <v>0</v>
      </c>
      <c r="I57" s="416">
        <f t="shared" si="11"/>
        <v>0</v>
      </c>
      <c r="J57" s="416">
        <f t="shared" si="11"/>
        <v>0</v>
      </c>
      <c r="K57" s="416">
        <f t="shared" si="11"/>
        <v>0</v>
      </c>
      <c r="L57" s="416">
        <f t="shared" si="11"/>
        <v>0</v>
      </c>
      <c r="M57" s="416">
        <f t="shared" si="11"/>
        <v>0</v>
      </c>
      <c r="N57" s="416">
        <f t="shared" si="11"/>
        <v>0</v>
      </c>
      <c r="O57" s="416">
        <f t="shared" si="11"/>
        <v>0</v>
      </c>
    </row>
    <row r="58" spans="2:26" ht="4.95" customHeight="1" x14ac:dyDescent="0.3">
      <c r="B58" s="43"/>
      <c r="F58" s="416"/>
      <c r="G58" s="416"/>
      <c r="H58" s="416"/>
      <c r="I58" s="416"/>
      <c r="J58" s="416"/>
      <c r="K58" s="416"/>
      <c r="L58" s="416"/>
      <c r="M58" s="416"/>
      <c r="N58" s="416"/>
      <c r="O58" s="416"/>
    </row>
    <row r="59" spans="2:26" ht="10.8" customHeight="1" x14ac:dyDescent="0.3">
      <c r="B59" s="43"/>
      <c r="K59" s="24"/>
      <c r="L59" s="24"/>
      <c r="M59" s="24"/>
      <c r="N59" s="24"/>
      <c r="O59" s="24"/>
      <c r="P59" s="24"/>
    </row>
    <row r="60" spans="2:26" ht="4.95" customHeight="1" x14ac:dyDescent="0.3">
      <c r="B60" s="43"/>
      <c r="K60" s="24"/>
      <c r="L60" s="24"/>
      <c r="M60" s="24"/>
      <c r="N60" s="24"/>
      <c r="O60" s="24"/>
    </row>
    <row r="61" spans="2:26" ht="4.95" customHeight="1" x14ac:dyDescent="0.3">
      <c r="B61" s="43"/>
      <c r="K61" s="24"/>
      <c r="L61" s="24"/>
      <c r="M61" s="24"/>
      <c r="N61" s="24"/>
      <c r="O61" s="24"/>
    </row>
    <row r="62" spans="2:26" x14ac:dyDescent="0.3">
      <c r="B62" s="442" t="s">
        <v>39</v>
      </c>
      <c r="C62" s="442"/>
      <c r="D62" s="442"/>
      <c r="F62" s="44">
        <f t="shared" ref="F62:O62" si="12">F11</f>
        <v>37.867463066362006</v>
      </c>
      <c r="G62" s="44">
        <f t="shared" si="12"/>
        <v>344.64373139150672</v>
      </c>
      <c r="H62" s="44">
        <f t="shared" si="12"/>
        <v>912.77286445436425</v>
      </c>
      <c r="I62" s="44">
        <f t="shared" si="12"/>
        <v>1750.526343765257</v>
      </c>
      <c r="J62" s="44">
        <f t="shared" si="12"/>
        <v>3600.6431061508197</v>
      </c>
      <c r="K62" s="44">
        <f t="shared" si="12"/>
        <v>5995.561855892176</v>
      </c>
      <c r="L62" s="44">
        <f t="shared" si="12"/>
        <v>9069.7513847424652</v>
      </c>
      <c r="M62" s="44">
        <f t="shared" si="12"/>
        <v>12972.938179844044</v>
      </c>
      <c r="N62" s="44">
        <f t="shared" si="12"/>
        <v>17845.024556495548</v>
      </c>
      <c r="O62" s="44">
        <f t="shared" si="12"/>
        <v>23852.185880472545</v>
      </c>
    </row>
    <row r="63" spans="2:26" ht="4.95" customHeight="1" x14ac:dyDescent="0.3">
      <c r="B63" s="43"/>
      <c r="K63" s="24"/>
      <c r="L63" s="24"/>
      <c r="M63" s="24"/>
      <c r="N63" s="24"/>
      <c r="O63" s="24"/>
    </row>
    <row r="64" spans="2:26" x14ac:dyDescent="0.3">
      <c r="B64" s="444" t="s">
        <v>40</v>
      </c>
      <c r="C64" s="444"/>
      <c r="D64" s="444"/>
      <c r="F64" s="44">
        <f t="shared" ref="F64" si="13">(E62+F62)/2</f>
        <v>18.933731533181003</v>
      </c>
      <c r="G64" s="44">
        <f t="shared" ref="G64:O64" si="14">(F62+G62)/2</f>
        <v>191.25559722893436</v>
      </c>
      <c r="H64" s="44">
        <f t="shared" si="14"/>
        <v>628.70829792293546</v>
      </c>
      <c r="I64" s="44">
        <f t="shared" si="14"/>
        <v>1331.6496041098108</v>
      </c>
      <c r="J64" s="44">
        <f t="shared" si="14"/>
        <v>2675.5847249580384</v>
      </c>
      <c r="K64" s="44">
        <f t="shared" si="14"/>
        <v>4798.1024810214976</v>
      </c>
      <c r="L64" s="44">
        <f t="shared" si="14"/>
        <v>7532.6566203173206</v>
      </c>
      <c r="M64" s="44">
        <f t="shared" si="14"/>
        <v>11021.344782293254</v>
      </c>
      <c r="N64" s="44">
        <f t="shared" si="14"/>
        <v>15408.981368169796</v>
      </c>
      <c r="O64" s="44">
        <f t="shared" si="14"/>
        <v>20848.605218484045</v>
      </c>
    </row>
    <row r="65" spans="2:15" x14ac:dyDescent="0.3">
      <c r="K65" s="24"/>
      <c r="L65" s="24"/>
      <c r="M65" s="24"/>
      <c r="N65" s="24"/>
      <c r="O65" s="24"/>
    </row>
    <row r="66" spans="2:15" x14ac:dyDescent="0.3">
      <c r="B66" s="442" t="s">
        <v>41</v>
      </c>
      <c r="C66" s="442"/>
      <c r="D66" s="442"/>
      <c r="F66" s="44">
        <f t="shared" ref="F66:O66" si="15">F11+F19</f>
        <v>2471.7631674099275</v>
      </c>
      <c r="G66" s="44">
        <f t="shared" si="15"/>
        <v>2513.5885592127183</v>
      </c>
      <c r="H66" s="44">
        <f t="shared" si="15"/>
        <v>2797.3660893021029</v>
      </c>
      <c r="I66" s="44">
        <f t="shared" si="15"/>
        <v>3329.8019148093435</v>
      </c>
      <c r="J66" s="44">
        <f t="shared" si="15"/>
        <v>4853.8829381380983</v>
      </c>
      <c r="K66" s="44">
        <f t="shared" si="15"/>
        <v>6964.0366737703189</v>
      </c>
      <c r="L66" s="44">
        <f t="shared" si="15"/>
        <v>9735.2398351154479</v>
      </c>
      <c r="M66" s="44">
        <f t="shared" si="15"/>
        <v>13316.026189421054</v>
      </c>
      <c r="N66" s="44">
        <f t="shared" si="15"/>
        <v>17845.024556495548</v>
      </c>
      <c r="O66" s="44">
        <f t="shared" si="15"/>
        <v>23852.185880472545</v>
      </c>
    </row>
    <row r="67" spans="2:15" ht="4.95" customHeight="1" x14ac:dyDescent="0.3">
      <c r="B67" s="43"/>
      <c r="K67" s="24"/>
      <c r="L67" s="24"/>
      <c r="M67" s="24"/>
      <c r="N67" s="24"/>
      <c r="O67" s="24"/>
    </row>
    <row r="68" spans="2:15" x14ac:dyDescent="0.3">
      <c r="B68" s="444" t="s">
        <v>42</v>
      </c>
      <c r="C68" s="444"/>
      <c r="D68" s="444"/>
      <c r="F68" s="44">
        <f t="shared" ref="F68" si="16">(E66+F66)/2</f>
        <v>1235.8815837049638</v>
      </c>
      <c r="G68" s="44">
        <f t="shared" ref="G68:O68" si="17">(F66+G66)/2</f>
        <v>2492.6758633113232</v>
      </c>
      <c r="H68" s="44">
        <f t="shared" si="17"/>
        <v>2655.4773242574106</v>
      </c>
      <c r="I68" s="44">
        <f t="shared" si="17"/>
        <v>3063.5840020557234</v>
      </c>
      <c r="J68" s="44">
        <f t="shared" si="17"/>
        <v>4091.8424264737209</v>
      </c>
      <c r="K68" s="44">
        <f t="shared" si="17"/>
        <v>5908.9598059542086</v>
      </c>
      <c r="L68" s="44">
        <f t="shared" si="17"/>
        <v>8349.6382544428834</v>
      </c>
      <c r="M68" s="44">
        <f t="shared" si="17"/>
        <v>11525.633012268252</v>
      </c>
      <c r="N68" s="44">
        <f t="shared" si="17"/>
        <v>15580.525372958302</v>
      </c>
      <c r="O68" s="44">
        <f t="shared" si="17"/>
        <v>20848.605218484045</v>
      </c>
    </row>
    <row r="69" spans="2:15" x14ac:dyDescent="0.3">
      <c r="K69" s="24"/>
      <c r="L69" s="24"/>
      <c r="M69" s="24"/>
      <c r="N69" s="24"/>
      <c r="O69" s="24"/>
    </row>
    <row r="70" spans="2:15" x14ac:dyDescent="0.3">
      <c r="B70" s="442" t="s">
        <v>28</v>
      </c>
      <c r="C70" s="442"/>
      <c r="D70" s="442"/>
      <c r="F70" s="44">
        <f t="shared" ref="F70" si="18">F40</f>
        <v>142.86852036888183</v>
      </c>
      <c r="G70" s="44">
        <f t="shared" ref="G70:O70" si="19">G40</f>
        <v>167.01560803415617</v>
      </c>
      <c r="H70" s="44">
        <f t="shared" si="19"/>
        <v>197.04634396679313</v>
      </c>
      <c r="I70" s="44">
        <f t="shared" si="19"/>
        <v>240.38115176912876</v>
      </c>
      <c r="J70" s="44">
        <f t="shared" si="19"/>
        <v>281.23267545622053</v>
      </c>
      <c r="K70" s="44">
        <f t="shared" si="19"/>
        <v>314.98007118475817</v>
      </c>
      <c r="L70" s="44">
        <f t="shared" si="19"/>
        <v>373.11599198625009</v>
      </c>
      <c r="M70" s="44">
        <f t="shared" si="19"/>
        <v>420.86278124772298</v>
      </c>
      <c r="N70" s="44">
        <f t="shared" si="19"/>
        <v>480.53498764368777</v>
      </c>
      <c r="O70" s="44">
        <f t="shared" si="19"/>
        <v>574.51506315888366</v>
      </c>
    </row>
    <row r="71" spans="2:15" ht="4.95" customHeight="1" x14ac:dyDescent="0.3">
      <c r="B71" s="43"/>
      <c r="K71" s="24"/>
      <c r="L71" s="24"/>
      <c r="M71" s="24"/>
      <c r="N71" s="24"/>
      <c r="O71" s="24"/>
    </row>
    <row r="72" spans="2:15" x14ac:dyDescent="0.3">
      <c r="B72" s="444" t="s">
        <v>43</v>
      </c>
      <c r="C72" s="444"/>
      <c r="D72" s="444"/>
      <c r="F72" s="44">
        <f t="shared" ref="F72" si="20">(E70+F70)/2</f>
        <v>71.434260184440916</v>
      </c>
      <c r="G72" s="44">
        <f t="shared" ref="G72:O72" si="21">(F70+G70)/2</f>
        <v>154.942064201519</v>
      </c>
      <c r="H72" s="44">
        <f t="shared" si="21"/>
        <v>182.03097600047465</v>
      </c>
      <c r="I72" s="44">
        <f t="shared" si="21"/>
        <v>218.71374786796093</v>
      </c>
      <c r="J72" s="44">
        <f t="shared" si="21"/>
        <v>260.80691361267463</v>
      </c>
      <c r="K72" s="44">
        <f t="shared" si="21"/>
        <v>298.10637332048935</v>
      </c>
      <c r="L72" s="44">
        <f t="shared" si="21"/>
        <v>344.04803158550413</v>
      </c>
      <c r="M72" s="44">
        <f t="shared" si="21"/>
        <v>396.98938661698651</v>
      </c>
      <c r="N72" s="44">
        <f t="shared" si="21"/>
        <v>450.6988844457054</v>
      </c>
      <c r="O72" s="44">
        <f t="shared" si="21"/>
        <v>527.52502540128569</v>
      </c>
    </row>
    <row r="73" spans="2:15" x14ac:dyDescent="0.3">
      <c r="K73" s="24"/>
      <c r="L73" s="24"/>
      <c r="M73" s="24"/>
      <c r="N73" s="24"/>
      <c r="O73" s="24"/>
    </row>
    <row r="74" spans="2:15" x14ac:dyDescent="0.3">
      <c r="B74" s="442" t="s">
        <v>38</v>
      </c>
      <c r="C74" s="442"/>
      <c r="D74" s="442"/>
      <c r="F74" s="44">
        <f t="shared" ref="F74" si="22">F56</f>
        <v>3056.1706173629618</v>
      </c>
      <c r="G74" s="44">
        <f t="shared" ref="G74:O74" si="23">G56</f>
        <v>3269.8063024057315</v>
      </c>
      <c r="H74" s="44">
        <f t="shared" si="23"/>
        <v>3878.9999129103712</v>
      </c>
      <c r="I74" s="44">
        <f t="shared" si="23"/>
        <v>4881.3708260943777</v>
      </c>
      <c r="J74" s="44">
        <f t="shared" si="23"/>
        <v>6344.280013502027</v>
      </c>
      <c r="K74" s="44">
        <f t="shared" si="23"/>
        <v>8740.6940313473751</v>
      </c>
      <c r="L74" s="44">
        <f t="shared" si="23"/>
        <v>11857.826571101188</v>
      </c>
      <c r="M74" s="44">
        <f t="shared" si="23"/>
        <v>15858.987880140834</v>
      </c>
      <c r="N74" s="44">
        <f t="shared" si="23"/>
        <v>20879.900327619402</v>
      </c>
      <c r="O74" s="44">
        <f t="shared" si="23"/>
        <v>27099.333541322907</v>
      </c>
    </row>
    <row r="75" spans="2:15" ht="4.95" customHeight="1" x14ac:dyDescent="0.3">
      <c r="B75" s="43"/>
      <c r="K75" s="24"/>
      <c r="L75" s="24"/>
      <c r="M75" s="24"/>
      <c r="N75" s="24"/>
      <c r="O75" s="24"/>
    </row>
    <row r="76" spans="2:15" x14ac:dyDescent="0.3">
      <c r="B76" s="444" t="s">
        <v>43</v>
      </c>
      <c r="C76" s="444"/>
      <c r="D76" s="444"/>
      <c r="F76" s="44">
        <f t="shared" ref="F76" si="24">(E74+F74)/2</f>
        <v>1528.0853086814809</v>
      </c>
      <c r="G76" s="44">
        <f t="shared" ref="G76:O76" si="25">(F74+G74)/2</f>
        <v>3162.9884598843464</v>
      </c>
      <c r="H76" s="44">
        <f t="shared" si="25"/>
        <v>3574.4031076580513</v>
      </c>
      <c r="I76" s="44">
        <f t="shared" si="25"/>
        <v>4380.1853695023747</v>
      </c>
      <c r="J76" s="44">
        <f t="shared" si="25"/>
        <v>5612.8254197982023</v>
      </c>
      <c r="K76" s="44">
        <f t="shared" si="25"/>
        <v>7542.4870224247006</v>
      </c>
      <c r="L76" s="44">
        <f t="shared" si="25"/>
        <v>10299.260301224282</v>
      </c>
      <c r="M76" s="44">
        <f t="shared" si="25"/>
        <v>13858.407225621011</v>
      </c>
      <c r="N76" s="44">
        <f t="shared" si="25"/>
        <v>18369.444103880116</v>
      </c>
      <c r="O76" s="44">
        <f t="shared" si="25"/>
        <v>23989.616934471152</v>
      </c>
    </row>
    <row r="77" spans="2:15" ht="4.95" customHeight="1" x14ac:dyDescent="0.3">
      <c r="B77" s="43"/>
    </row>
    <row r="78" spans="2:15" ht="4.95" customHeight="1" x14ac:dyDescent="0.3">
      <c r="B78" s="43"/>
    </row>
    <row r="79" spans="2:15" x14ac:dyDescent="0.3">
      <c r="B79" s="442" t="s">
        <v>499</v>
      </c>
      <c r="C79" s="442"/>
      <c r="D79" s="442"/>
      <c r="F79" s="44">
        <f>Config!C10-BS!F49</f>
        <v>8.8490241821917763</v>
      </c>
      <c r="G79" s="44">
        <f>F49-G49</f>
        <v>-125.26027397260273</v>
      </c>
      <c r="H79" s="44">
        <f t="shared" ref="H79:O79" si="26">G49-H49</f>
        <v>-136.60273972602741</v>
      </c>
      <c r="I79" s="44">
        <f t="shared" si="26"/>
        <v>-174.74671232876722</v>
      </c>
      <c r="J79" s="44">
        <f t="shared" si="26"/>
        <v>-225.27930821917818</v>
      </c>
      <c r="K79" s="44">
        <f t="shared" si="26"/>
        <v>-214.70116130137001</v>
      </c>
      <c r="L79" s="44">
        <f t="shared" si="26"/>
        <v>-251.0756301883564</v>
      </c>
      <c r="M79" s="44">
        <f t="shared" si="26"/>
        <v>-307.59896301626713</v>
      </c>
      <c r="N79" s="44">
        <f t="shared" si="26"/>
        <v>-362.3494426131424</v>
      </c>
      <c r="O79" s="44">
        <f t="shared" si="26"/>
        <v>-429.11297085719798</v>
      </c>
    </row>
    <row r="80" spans="2:15" ht="4.95" customHeight="1" x14ac:dyDescent="0.3">
      <c r="B80" s="43"/>
      <c r="K80" s="24"/>
      <c r="L80" s="24"/>
      <c r="M80" s="24"/>
      <c r="N80" s="24"/>
      <c r="O80" s="24"/>
    </row>
    <row r="81" spans="2:15" x14ac:dyDescent="0.3">
      <c r="B81" s="442" t="s">
        <v>500</v>
      </c>
      <c r="C81" s="442"/>
      <c r="D81" s="442"/>
      <c r="F81" s="44">
        <f>F23-Config!G8</f>
        <v>-75.33273570136987</v>
      </c>
      <c r="G81" s="44">
        <f>G23-F23</f>
        <v>22.370958904109592</v>
      </c>
      <c r="H81" s="44">
        <f t="shared" ref="H81:O81" si="27">H23-G23</f>
        <v>19.991917808219174</v>
      </c>
      <c r="I81" s="44">
        <f t="shared" si="27"/>
        <v>23.653697260273987</v>
      </c>
      <c r="J81" s="44">
        <f t="shared" si="27"/>
        <v>32.015785684931515</v>
      </c>
      <c r="K81" s="44">
        <f t="shared" si="27"/>
        <v>30.045869722602731</v>
      </c>
      <c r="L81" s="44">
        <f t="shared" si="27"/>
        <v>36.591976823116454</v>
      </c>
      <c r="M81" s="44">
        <f t="shared" si="27"/>
        <v>45.676338764101047</v>
      </c>
      <c r="N81" s="44">
        <f t="shared" si="27"/>
        <v>55.983833815927653</v>
      </c>
      <c r="O81" s="44">
        <f t="shared" si="27"/>
        <v>68.899207592593427</v>
      </c>
    </row>
    <row r="82" spans="2:15" ht="4.95" customHeight="1" x14ac:dyDescent="0.3">
      <c r="B82" s="43"/>
    </row>
    <row r="83" spans="2:15" x14ac:dyDescent="0.3">
      <c r="B83" s="442" t="s">
        <v>501</v>
      </c>
      <c r="C83" s="442"/>
      <c r="D83" s="442"/>
      <c r="F83" s="44">
        <f>Config!C9-BS!F47</f>
        <v>-1.8238122438356079</v>
      </c>
      <c r="G83" s="44">
        <f>F47-G47</f>
        <v>-100.66931506849316</v>
      </c>
      <c r="H83" s="44">
        <f t="shared" ref="H83:O83" si="28">G47-H47</f>
        <v>-89.963630136986325</v>
      </c>
      <c r="I83" s="44">
        <f t="shared" si="28"/>
        <v>-106.44163767123288</v>
      </c>
      <c r="J83" s="44">
        <f t="shared" si="28"/>
        <v>-144.07103558219183</v>
      </c>
      <c r="K83" s="44">
        <f t="shared" si="28"/>
        <v>-135.20641375171232</v>
      </c>
      <c r="L83" s="44">
        <f t="shared" si="28"/>
        <v>-164.66389570402407</v>
      </c>
      <c r="M83" s="44">
        <f t="shared" si="28"/>
        <v>-205.54352443845471</v>
      </c>
      <c r="N83" s="44">
        <f t="shared" si="28"/>
        <v>-251.92725217167435</v>
      </c>
      <c r="O83" s="44">
        <f t="shared" si="28"/>
        <v>-310.04643416667068</v>
      </c>
    </row>
    <row r="84" spans="2:15" ht="4.95" customHeight="1" x14ac:dyDescent="0.3">
      <c r="B84" s="43"/>
    </row>
    <row r="86" spans="2:15" ht="4.95" customHeight="1" x14ac:dyDescent="0.3">
      <c r="B86" s="43"/>
    </row>
    <row r="88" spans="2:15" ht="4.95" customHeight="1" x14ac:dyDescent="0.3">
      <c r="B88" s="43"/>
    </row>
    <row r="90" spans="2:15" ht="4.95" customHeight="1" x14ac:dyDescent="0.3">
      <c r="B90" s="43"/>
    </row>
    <row r="92" spans="2:15" ht="4.95" customHeight="1" x14ac:dyDescent="0.3">
      <c r="B92" s="43"/>
    </row>
    <row r="94" spans="2:15" ht="4.95" customHeight="1" x14ac:dyDescent="0.3">
      <c r="B94" s="43"/>
    </row>
    <row r="96" spans="2:15" ht="4.95" customHeight="1" x14ac:dyDescent="0.3">
      <c r="B96" s="43"/>
    </row>
    <row r="98" spans="2:2" ht="4.95" customHeight="1" x14ac:dyDescent="0.3">
      <c r="B98" s="43"/>
    </row>
    <row r="100" spans="2:2" ht="4.95" customHeight="1" x14ac:dyDescent="0.3">
      <c r="B100" s="43"/>
    </row>
    <row r="102" spans="2:2" ht="4.95" customHeight="1" x14ac:dyDescent="0.3">
      <c r="B102" s="43"/>
    </row>
    <row r="104" spans="2:2" ht="4.95" customHeight="1" x14ac:dyDescent="0.3">
      <c r="B104" s="43"/>
    </row>
    <row r="106" spans="2:2" ht="4.95" customHeight="1" x14ac:dyDescent="0.3">
      <c r="B106" s="43"/>
    </row>
    <row r="108" spans="2:2" ht="4.95" customHeight="1" x14ac:dyDescent="0.3">
      <c r="B108" s="43"/>
    </row>
    <row r="110" spans="2:2" ht="4.95" customHeight="1" x14ac:dyDescent="0.3">
      <c r="B110" s="43"/>
    </row>
    <row r="112" spans="2:2" ht="4.95" customHeight="1" x14ac:dyDescent="0.3">
      <c r="B112" s="43"/>
    </row>
    <row r="114" spans="2:2" ht="4.95" customHeight="1" x14ac:dyDescent="0.3">
      <c r="B114" s="43"/>
    </row>
    <row r="116" spans="2:2" ht="4.95" customHeight="1" x14ac:dyDescent="0.3">
      <c r="B116" s="43"/>
    </row>
    <row r="118" spans="2:2" ht="4.95" customHeight="1" x14ac:dyDescent="0.3">
      <c r="B118" s="43"/>
    </row>
    <row r="120" spans="2:2" ht="4.95" customHeight="1" x14ac:dyDescent="0.3">
      <c r="B120" s="43"/>
    </row>
    <row r="122" spans="2:2" ht="4.95" customHeight="1" x14ac:dyDescent="0.3">
      <c r="B122" s="43"/>
    </row>
    <row r="124" spans="2:2" ht="4.95" customHeight="1" x14ac:dyDescent="0.3">
      <c r="B124" s="43"/>
    </row>
  </sheetData>
  <mergeCells count="13">
    <mergeCell ref="B79:D79"/>
    <mergeCell ref="B81:D81"/>
    <mergeCell ref="B83:D83"/>
    <mergeCell ref="B9:D9"/>
    <mergeCell ref="B36:D36"/>
    <mergeCell ref="B76:D76"/>
    <mergeCell ref="B62:D62"/>
    <mergeCell ref="B64:D64"/>
    <mergeCell ref="B66:D66"/>
    <mergeCell ref="B68:D68"/>
    <mergeCell ref="B70:D70"/>
    <mergeCell ref="B72:D72"/>
    <mergeCell ref="B74:D74"/>
  </mergeCells>
  <pageMargins left="0.70866141732283505" right="0.70866141732283505" top="0.74803149606299202" bottom="0.74803149606299202" header="0.31496062992126" footer="0.31496062992126"/>
  <pageSetup paperSize="9" scale="80" fitToHeight="0" orientation="landscape" errors="blank" r:id="rId1"/>
  <headerFooter>
    <oddFooter>&amp;C&amp;"Ubuntu,Regular"&amp;K346D9CPage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132F-B55F-4565-9DD2-6940C239D63D}">
  <sheetPr>
    <tabColor rgb="FF7030A0"/>
    <pageSetUpPr fitToPage="1"/>
  </sheetPr>
  <dimension ref="A1:AB64"/>
  <sheetViews>
    <sheetView showGridLines="0" view="pageBreakPreview" zoomScaleNormal="100" zoomScaleSheetLayoutView="100" workbookViewId="0">
      <selection activeCell="F9" sqref="F9"/>
    </sheetView>
  </sheetViews>
  <sheetFormatPr defaultColWidth="8.6640625" defaultRowHeight="14.4" x14ac:dyDescent="0.3"/>
  <cols>
    <col min="1" max="1" width="12.44140625" style="6" bestFit="1" customWidth="1"/>
    <col min="2" max="2" width="6.44140625" style="43" bestFit="1" customWidth="1"/>
    <col min="3" max="3" width="0.77734375" style="4" customWidth="1"/>
    <col min="4" max="4" width="32.33203125" style="4" bestFit="1" customWidth="1"/>
    <col min="5" max="5" width="0.77734375" style="4" customWidth="1"/>
    <col min="6" max="6" width="12.77734375" style="24" bestFit="1" customWidth="1"/>
    <col min="7" max="8" width="10.77734375" style="24" bestFit="1" customWidth="1"/>
    <col min="9" max="9" width="12.44140625" style="24" bestFit="1" customWidth="1"/>
    <col min="10" max="10" width="10.77734375" style="24" bestFit="1" customWidth="1"/>
    <col min="11" max="15" width="10.77734375" style="24" customWidth="1"/>
    <col min="16" max="16" width="3.5546875" style="24" customWidth="1"/>
    <col min="17" max="17" width="10.44140625" style="46" bestFit="1" customWidth="1"/>
    <col min="18" max="16384" width="8.6640625" style="4"/>
  </cols>
  <sheetData>
    <row r="1" spans="1:28" x14ac:dyDescent="0.3">
      <c r="A1" s="1"/>
      <c r="B1" s="4"/>
      <c r="P1" s="3"/>
      <c r="Q1" s="45"/>
    </row>
    <row r="2" spans="1:28" ht="21" x14ac:dyDescent="0.3">
      <c r="B2" s="7" t="s">
        <v>44</v>
      </c>
      <c r="C2" s="9"/>
      <c r="D2" s="2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28" ht="18" customHeight="1" x14ac:dyDescent="0.3">
      <c r="B3" s="29"/>
      <c r="C3" s="9"/>
      <c r="D3" s="29"/>
      <c r="E3" s="9"/>
      <c r="F3" s="10"/>
      <c r="G3" s="10"/>
      <c r="H3" s="10"/>
      <c r="I3" s="10"/>
      <c r="J3" s="31"/>
      <c r="K3" s="31"/>
      <c r="L3" s="31"/>
      <c r="M3" s="31"/>
      <c r="N3" s="31"/>
      <c r="O3" s="31" t="str">
        <f>Do</f>
        <v>(₹ in Lakhs)</v>
      </c>
    </row>
    <row r="4" spans="1:28" ht="4.95" customHeight="1" x14ac:dyDescent="0.3">
      <c r="B4" s="4"/>
    </row>
    <row r="5" spans="1:28" ht="18" customHeight="1" x14ac:dyDescent="0.3">
      <c r="B5" s="32" t="s">
        <v>1</v>
      </c>
      <c r="D5" s="32" t="s">
        <v>2</v>
      </c>
      <c r="F5" s="14" t="str">
        <f>[2]Ratios!F4</f>
        <v>2025-26</v>
      </c>
      <c r="G5" s="14" t="str">
        <f>[2]Ratios!H4</f>
        <v>2026-27</v>
      </c>
      <c r="H5" s="14" t="str">
        <f>[2]Ratios!J4</f>
        <v>2027-28</v>
      </c>
      <c r="I5" s="14" t="str">
        <f>[2]Ratios!L4</f>
        <v>2028-29</v>
      </c>
      <c r="J5" s="14" t="str">
        <f>[2]Ratios!N4</f>
        <v>2029-30</v>
      </c>
      <c r="K5" s="14" t="str">
        <f>[2]Ratios!P4</f>
        <v>2030-31</v>
      </c>
      <c r="L5" s="14" t="str">
        <f>[2]Ratios!R4</f>
        <v>2031-32</v>
      </c>
      <c r="M5" s="14" t="str">
        <f>[2]Ratios!T4</f>
        <v>2032-33</v>
      </c>
      <c r="N5" s="14" t="str">
        <f>[2]Ratios!V4</f>
        <v>2033-34</v>
      </c>
      <c r="O5" s="14" t="str">
        <f>[2]Ratios!X4</f>
        <v>2034-35</v>
      </c>
      <c r="Q5" s="47" t="s">
        <v>45</v>
      </c>
    </row>
    <row r="6" spans="1:28" ht="4.95" customHeight="1" x14ac:dyDescent="0.3">
      <c r="B6" s="4"/>
    </row>
    <row r="7" spans="1:28" s="49" customFormat="1" x14ac:dyDescent="0.3">
      <c r="A7" s="6"/>
      <c r="B7" s="21">
        <v>1</v>
      </c>
      <c r="C7" s="48"/>
      <c r="D7" s="34" t="s">
        <v>46</v>
      </c>
      <c r="F7" s="50">
        <f t="shared" ref="F7:O7" si="0">SUM(F8:F15)</f>
        <v>630</v>
      </c>
      <c r="G7" s="50">
        <f t="shared" si="0"/>
        <v>2154</v>
      </c>
      <c r="H7" s="50">
        <f t="shared" si="0"/>
        <v>3816</v>
      </c>
      <c r="I7" s="50">
        <f t="shared" si="0"/>
        <v>5942.0850000000009</v>
      </c>
      <c r="J7" s="50">
        <f t="shared" si="0"/>
        <v>8682.983250000003</v>
      </c>
      <c r="K7" s="50">
        <f t="shared" si="0"/>
        <v>11295.180712500003</v>
      </c>
      <c r="L7" s="50">
        <f t="shared" si="0"/>
        <v>14349.934213125005</v>
      </c>
      <c r="M7" s="50">
        <f t="shared" si="0"/>
        <v>18092.388263156259</v>
      </c>
      <c r="N7" s="50">
        <f t="shared" si="0"/>
        <v>22500.973148282821</v>
      </c>
      <c r="O7" s="50">
        <f t="shared" si="0"/>
        <v>27721.847627045401</v>
      </c>
      <c r="P7" s="51"/>
      <c r="Q7" s="52" t="s">
        <v>47</v>
      </c>
    </row>
    <row r="8" spans="1:28" ht="4.95" customHeight="1" x14ac:dyDescent="0.3">
      <c r="B8" s="21"/>
      <c r="C8" s="33"/>
      <c r="D8" s="33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1:28" ht="19.8" customHeight="1" x14ac:dyDescent="0.3">
      <c r="B9" s="21"/>
      <c r="C9" s="33"/>
      <c r="D9" s="53" t="str">
        <f>'PAG-2'!D9</f>
        <v>Corporate Sales</v>
      </c>
      <c r="F9" s="38" cm="1">
        <f t="array" ref="F9:O9">TRANSPOSE('Revenue generation breakup'!D7:D16)</f>
        <v>135</v>
      </c>
      <c r="G9" s="38">
        <v>162</v>
      </c>
      <c r="H9" s="38">
        <v>202.5</v>
      </c>
      <c r="I9" s="38">
        <v>253.125</v>
      </c>
      <c r="J9" s="38">
        <v>316.40625</v>
      </c>
      <c r="K9" s="38">
        <v>395.5078125</v>
      </c>
      <c r="L9" s="38">
        <v>494.384765625</v>
      </c>
      <c r="M9" s="38">
        <v>617.98095703125</v>
      </c>
      <c r="N9" s="38">
        <v>772.4761962890625</v>
      </c>
      <c r="O9" s="38">
        <v>965.59524536132813</v>
      </c>
    </row>
    <row r="10" spans="1:28" s="3" customFormat="1" ht="5.25" customHeight="1" x14ac:dyDescent="0.3">
      <c r="B10" s="21"/>
    </row>
    <row r="11" spans="1:28" ht="19.8" customHeight="1" x14ac:dyDescent="0.3">
      <c r="B11" s="21"/>
      <c r="C11" s="33"/>
      <c r="D11" s="53" t="str">
        <f>'PAG-2'!D11</f>
        <v>Millet Cafeteria</v>
      </c>
      <c r="F11" s="38" cm="1">
        <f t="array" ref="F11:O11">TRANSPOSE('Revenue generation breakup'!E7:E16)</f>
        <v>270</v>
      </c>
      <c r="G11" s="38">
        <v>792.00000000000011</v>
      </c>
      <c r="H11" s="38">
        <v>1633.5000000000002</v>
      </c>
      <c r="I11" s="38">
        <v>2874.9600000000009</v>
      </c>
      <c r="J11" s="38">
        <v>4348.3770000000022</v>
      </c>
      <c r="K11" s="38">
        <v>5811.0129000000034</v>
      </c>
      <c r="L11" s="38">
        <v>7409.0414475000052</v>
      </c>
      <c r="M11" s="38">
        <v>9304.8844061250074</v>
      </c>
      <c r="N11" s="38">
        <v>11371.789056993759</v>
      </c>
      <c r="O11" s="38">
        <v>13622.121961934074</v>
      </c>
    </row>
    <row r="12" spans="1:28" ht="4.95" customHeight="1" x14ac:dyDescent="0.3">
      <c r="B12" s="21"/>
      <c r="C12" s="33"/>
      <c r="D12" s="33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28" x14ac:dyDescent="0.3">
      <c r="B13" s="21"/>
      <c r="C13" s="33"/>
      <c r="D13" s="53" t="str">
        <f>'PAG-2'!D13</f>
        <v>Retail Market Sales</v>
      </c>
      <c r="F13" s="38" cm="1">
        <f t="array" ref="F13:O13">TRANSPOSE('Revenue generation breakup'!F7:F16)</f>
        <v>75</v>
      </c>
      <c r="G13" s="38">
        <v>600</v>
      </c>
      <c r="H13" s="38">
        <v>1200</v>
      </c>
      <c r="I13" s="38">
        <v>1800</v>
      </c>
      <c r="J13" s="38">
        <v>2700</v>
      </c>
      <c r="K13" s="38">
        <v>3375</v>
      </c>
      <c r="L13" s="38">
        <v>4218.75</v>
      </c>
      <c r="M13" s="38">
        <v>5273.4375</v>
      </c>
      <c r="N13" s="38">
        <v>6591.796875</v>
      </c>
      <c r="O13" s="38">
        <v>8239.74609375</v>
      </c>
    </row>
    <row r="14" spans="1:28" ht="4.95" customHeight="1" x14ac:dyDescent="0.3">
      <c r="B14" s="21"/>
      <c r="C14" s="33"/>
      <c r="D14" s="54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spans="1:28" x14ac:dyDescent="0.3">
      <c r="B15" s="21"/>
      <c r="C15" s="33"/>
      <c r="D15" s="53" t="str">
        <f>'PAG-2'!D15</f>
        <v>Export Sales</v>
      </c>
      <c r="F15" s="38" cm="1">
        <f t="array" ref="F15:O15">TRANSPOSE('Revenue generation breakup'!G7:G16)</f>
        <v>150</v>
      </c>
      <c r="G15" s="38">
        <v>600</v>
      </c>
      <c r="H15" s="38">
        <v>780</v>
      </c>
      <c r="I15" s="38">
        <v>1014</v>
      </c>
      <c r="J15" s="38">
        <v>1318.2</v>
      </c>
      <c r="K15" s="38">
        <v>1713.66</v>
      </c>
      <c r="L15" s="38">
        <v>2227.7579999999998</v>
      </c>
      <c r="M15" s="38">
        <v>2896.0853999999999</v>
      </c>
      <c r="N15" s="38">
        <v>3764.91102</v>
      </c>
      <c r="O15" s="38">
        <v>4894.3843260000003</v>
      </c>
    </row>
    <row r="16" spans="1:28" ht="11.1" customHeight="1" x14ac:dyDescent="0.3">
      <c r="B16" s="39"/>
      <c r="C16" s="33"/>
      <c r="D16" s="54"/>
      <c r="F16" s="37"/>
      <c r="G16" s="37"/>
      <c r="H16" s="37"/>
      <c r="I16" s="37"/>
      <c r="J16" s="37"/>
      <c r="K16" s="37"/>
      <c r="L16" s="37"/>
      <c r="M16" s="37"/>
      <c r="N16" s="37"/>
      <c r="O16" s="37"/>
      <c r="AB16" s="33"/>
    </row>
    <row r="17" spans="1:17" s="49" customFormat="1" x14ac:dyDescent="0.3">
      <c r="A17" s="6"/>
      <c r="B17" s="21">
        <v>2</v>
      </c>
      <c r="C17" s="48"/>
      <c r="D17" s="55" t="s">
        <v>48</v>
      </c>
      <c r="F17" s="50">
        <f t="shared" ref="F17:O17" si="1">SUM(F19:F23)</f>
        <v>272.39999999999998</v>
      </c>
      <c r="G17" s="50">
        <f t="shared" si="1"/>
        <v>1088.94</v>
      </c>
      <c r="H17" s="50">
        <f t="shared" si="1"/>
        <v>1818.6450000000002</v>
      </c>
      <c r="I17" s="50">
        <f t="shared" si="1"/>
        <v>2682.0049500000005</v>
      </c>
      <c r="J17" s="50">
        <f t="shared" si="1"/>
        <v>3850.5811275000005</v>
      </c>
      <c r="K17" s="50">
        <f t="shared" si="1"/>
        <v>4947.2553723750007</v>
      </c>
      <c r="L17" s="50">
        <f t="shared" si="1"/>
        <v>6282.8625264187513</v>
      </c>
      <c r="M17" s="50">
        <f t="shared" si="1"/>
        <v>7950.0488913084391</v>
      </c>
      <c r="N17" s="50">
        <f t="shared" si="1"/>
        <v>9993.4588255897979</v>
      </c>
      <c r="O17" s="50">
        <f t="shared" si="1"/>
        <v>12508.27990271946</v>
      </c>
      <c r="P17" s="56"/>
      <c r="Q17" s="52" t="s">
        <v>49</v>
      </c>
    </row>
    <row r="18" spans="1:17" ht="4.95" customHeight="1" x14ac:dyDescent="0.3">
      <c r="B18" s="21"/>
      <c r="C18" s="33"/>
      <c r="D18" s="33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spans="1:17" x14ac:dyDescent="0.3">
      <c r="B19" s="21"/>
      <c r="C19" s="33"/>
      <c r="D19" s="53" t="str">
        <f>'All Costs'!D19</f>
        <v>Direct Cost  (Corporate Sales )</v>
      </c>
      <c r="F19" s="38">
        <f>'All Costs'!E19</f>
        <v>47.25</v>
      </c>
      <c r="G19" s="38">
        <f>'All Costs'!F19</f>
        <v>56.699999999999996</v>
      </c>
      <c r="H19" s="38">
        <f>'All Costs'!G19</f>
        <v>70.875</v>
      </c>
      <c r="I19" s="38">
        <f>'All Costs'!H19</f>
        <v>88.59375</v>
      </c>
      <c r="J19" s="38">
        <f>'All Costs'!I19</f>
        <v>110.7421875</v>
      </c>
      <c r="K19" s="38">
        <f>'All Costs'!J19</f>
        <v>138.427734375</v>
      </c>
      <c r="L19" s="38">
        <f>'All Costs'!K19</f>
        <v>173.03466796875</v>
      </c>
      <c r="M19" s="38">
        <f>'All Costs'!L19</f>
        <v>216.2933349609375</v>
      </c>
      <c r="N19" s="38">
        <f>'All Costs'!M19</f>
        <v>270.36666870117188</v>
      </c>
      <c r="O19" s="38">
        <f>'All Costs'!N19</f>
        <v>337.95833587646484</v>
      </c>
      <c r="P19" s="38"/>
    </row>
    <row r="20" spans="1:17" ht="4.95" customHeight="1" x14ac:dyDescent="0.3">
      <c r="B20" s="21"/>
      <c r="C20" s="33"/>
      <c r="D20" s="54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1" spans="1:17" x14ac:dyDescent="0.3">
      <c r="B21" s="21"/>
      <c r="C21" s="33"/>
      <c r="D21" s="53" t="str">
        <f>'All Costs'!D20</f>
        <v>Direct Cost  ( Millet Cafeteria )</v>
      </c>
      <c r="F21" s="38">
        <f>'All Costs'!E20</f>
        <v>59.4</v>
      </c>
      <c r="G21" s="38">
        <f>'All Costs'!F20</f>
        <v>174.24000000000004</v>
      </c>
      <c r="H21" s="38">
        <f>'All Costs'!G20</f>
        <v>359.37000000000006</v>
      </c>
      <c r="I21" s="38">
        <f>'All Costs'!H20</f>
        <v>632.49120000000016</v>
      </c>
      <c r="J21" s="38">
        <f>'All Costs'!I20</f>
        <v>956.64294000000052</v>
      </c>
      <c r="K21" s="38">
        <f>'All Costs'!J20</f>
        <v>1278.4228380000006</v>
      </c>
      <c r="L21" s="38">
        <f>'All Costs'!K20</f>
        <v>1629.9891184500011</v>
      </c>
      <c r="M21" s="38">
        <f>'All Costs'!L20</f>
        <v>2047.0745693475017</v>
      </c>
      <c r="N21" s="38">
        <f>'All Costs'!M20</f>
        <v>2501.7935925386269</v>
      </c>
      <c r="O21" s="38">
        <f>'All Costs'!N20</f>
        <v>2996.8668316254962</v>
      </c>
    </row>
    <row r="22" spans="1:17" customFormat="1" ht="5.25" customHeight="1" x14ac:dyDescent="0.3">
      <c r="B22" s="21"/>
    </row>
    <row r="23" spans="1:17" x14ac:dyDescent="0.3">
      <c r="B23" s="21"/>
      <c r="C23" s="33"/>
      <c r="D23" s="53" t="s">
        <v>497</v>
      </c>
      <c r="F23" s="38">
        <f>'All Costs'!E22+'All Costs'!E21</f>
        <v>165.75</v>
      </c>
      <c r="G23" s="38">
        <f>'All Costs'!F22+'All Costs'!F21</f>
        <v>858</v>
      </c>
      <c r="H23" s="38">
        <f>'All Costs'!G22+'All Costs'!G21</f>
        <v>1388.4</v>
      </c>
      <c r="I23" s="38">
        <f>'All Costs'!H22+'All Costs'!H21</f>
        <v>1960.92</v>
      </c>
      <c r="J23" s="38">
        <f>'All Costs'!I22+'All Costs'!I21</f>
        <v>2783.1959999999999</v>
      </c>
      <c r="K23" s="38">
        <f>'All Costs'!J22+'All Costs'!J21</f>
        <v>3530.4048000000003</v>
      </c>
      <c r="L23" s="38">
        <f>'All Costs'!K22+'All Costs'!K21</f>
        <v>4479.8387400000001</v>
      </c>
      <c r="M23" s="38">
        <f>'All Costs'!L22+'All Costs'!L21</f>
        <v>5686.6809869999997</v>
      </c>
      <c r="N23" s="38">
        <f>'All Costs'!M22+'All Costs'!M21</f>
        <v>7221.2985643499997</v>
      </c>
      <c r="O23" s="38">
        <f>'All Costs'!N22+'All Costs'!N21</f>
        <v>9173.4547352174995</v>
      </c>
    </row>
    <row r="24" spans="1:17" customFormat="1" ht="15" customHeight="1" x14ac:dyDescent="0.3">
      <c r="F24" s="57"/>
    </row>
    <row r="25" spans="1:17" x14ac:dyDescent="0.3">
      <c r="B25" s="21">
        <v>3</v>
      </c>
      <c r="C25" s="48"/>
      <c r="D25" s="34" t="s">
        <v>50</v>
      </c>
      <c r="E25" s="49"/>
      <c r="F25" s="50">
        <f t="shared" ref="F25:O25" si="2">F7-F17</f>
        <v>357.6</v>
      </c>
      <c r="G25" s="50">
        <f t="shared" si="2"/>
        <v>1065.06</v>
      </c>
      <c r="H25" s="50">
        <f t="shared" si="2"/>
        <v>1997.3549999999998</v>
      </c>
      <c r="I25" s="50">
        <f t="shared" si="2"/>
        <v>3260.0800500000005</v>
      </c>
      <c r="J25" s="50">
        <f t="shared" si="2"/>
        <v>4832.4021225000024</v>
      </c>
      <c r="K25" s="50">
        <f t="shared" si="2"/>
        <v>6347.9253401250025</v>
      </c>
      <c r="L25" s="50">
        <f t="shared" si="2"/>
        <v>8067.0716867062538</v>
      </c>
      <c r="M25" s="50">
        <f t="shared" si="2"/>
        <v>10142.33937184782</v>
      </c>
      <c r="N25" s="50">
        <f t="shared" si="2"/>
        <v>12507.514322693023</v>
      </c>
      <c r="O25" s="50">
        <f t="shared" si="2"/>
        <v>15213.567724325942</v>
      </c>
      <c r="P25" s="56"/>
      <c r="Q25" s="58"/>
    </row>
    <row r="26" spans="1:17" x14ac:dyDescent="0.3">
      <c r="B26" s="21"/>
      <c r="C26" s="48"/>
      <c r="D26" s="414" t="s">
        <v>402</v>
      </c>
      <c r="E26" s="49"/>
      <c r="F26" s="415">
        <f>F25/F$7</f>
        <v>0.56761904761904769</v>
      </c>
      <c r="G26" s="415">
        <f t="shared" ref="G26:O26" si="3">G25/G$7</f>
        <v>0.49445682451253481</v>
      </c>
      <c r="H26" s="415">
        <f t="shared" si="3"/>
        <v>0.52341588050314458</v>
      </c>
      <c r="I26" s="415">
        <f t="shared" si="3"/>
        <v>0.54864244621206193</v>
      </c>
      <c r="J26" s="415">
        <f t="shared" si="3"/>
        <v>0.55653707756490267</v>
      </c>
      <c r="K26" s="415">
        <f t="shared" si="3"/>
        <v>0.56200299062944281</v>
      </c>
      <c r="L26" s="415">
        <f t="shared" si="3"/>
        <v>0.56216785156602311</v>
      </c>
      <c r="M26" s="415">
        <f t="shared" si="3"/>
        <v>0.56058598921967118</v>
      </c>
      <c r="N26" s="415">
        <f t="shared" si="3"/>
        <v>0.55586548369564825</v>
      </c>
      <c r="O26" s="415">
        <f t="shared" si="3"/>
        <v>0.54879342564034594</v>
      </c>
      <c r="P26" s="56"/>
      <c r="Q26" s="58"/>
    </row>
    <row r="27" spans="1:17" ht="11.1" customHeight="1" x14ac:dyDescent="0.3">
      <c r="B27" s="39"/>
      <c r="C27" s="33"/>
      <c r="D27" s="54"/>
      <c r="F27" s="37"/>
      <c r="G27" s="37"/>
      <c r="H27" s="37"/>
      <c r="I27" s="37"/>
      <c r="J27" s="37"/>
      <c r="K27" s="37"/>
      <c r="L27" s="37"/>
      <c r="M27" s="37"/>
      <c r="N27" s="37"/>
      <c r="O27" s="37"/>
    </row>
    <row r="28" spans="1:17" x14ac:dyDescent="0.3">
      <c r="B28" s="21">
        <v>4</v>
      </c>
      <c r="C28" s="48"/>
      <c r="D28" s="55" t="s">
        <v>51</v>
      </c>
      <c r="E28" s="49"/>
      <c r="F28" s="50">
        <f>SUM(F30:F39)</f>
        <v>172.8</v>
      </c>
      <c r="G28" s="50">
        <f>SUM(G30:G40)</f>
        <v>413.28000000000009</v>
      </c>
      <c r="H28" s="50">
        <f>SUM(H30:H40)</f>
        <v>799.74000000000012</v>
      </c>
      <c r="I28" s="50">
        <f>SUM(I30:I40)</f>
        <v>1366.2324000000003</v>
      </c>
      <c r="J28" s="50">
        <f t="shared" ref="J28:O28" si="4">SUM(J30:J39)</f>
        <v>2039.8483800000008</v>
      </c>
      <c r="K28" s="50">
        <f t="shared" si="4"/>
        <v>2715.0488010000017</v>
      </c>
      <c r="L28" s="50">
        <f t="shared" si="4"/>
        <v>3457.7321431500027</v>
      </c>
      <c r="M28" s="50">
        <f t="shared" si="4"/>
        <v>4341.3415215075038</v>
      </c>
      <c r="N28" s="50">
        <f t="shared" si="4"/>
        <v>5312.5776635928796</v>
      </c>
      <c r="O28" s="50">
        <f t="shared" si="4"/>
        <v>6379.9717613955236</v>
      </c>
      <c r="P28" s="56"/>
      <c r="Q28" s="58"/>
    </row>
    <row r="29" spans="1:17" ht="4.95" customHeight="1" x14ac:dyDescent="0.3">
      <c r="B29" s="21"/>
      <c r="C29" s="33"/>
      <c r="D29" s="54"/>
      <c r="F29" s="37"/>
      <c r="G29" s="37"/>
      <c r="H29" s="37"/>
      <c r="I29" s="37"/>
      <c r="J29" s="37"/>
      <c r="K29" s="37"/>
      <c r="L29" s="37"/>
      <c r="M29" s="37"/>
      <c r="N29" s="37"/>
      <c r="O29" s="37"/>
    </row>
    <row r="30" spans="1:17" x14ac:dyDescent="0.3">
      <c r="B30" s="21"/>
      <c r="C30" s="33"/>
      <c r="D30" s="53" t="s">
        <v>463</v>
      </c>
      <c r="F30" s="38">
        <f>'All Costs'!E29+'All Costs'!E30</f>
        <v>101.25</v>
      </c>
      <c r="G30" s="38">
        <f>'All Costs'!F29+'All Costs'!F30</f>
        <v>238.50000000000003</v>
      </c>
      <c r="H30" s="38">
        <f>'All Costs'!G29+'All Costs'!G30</f>
        <v>459.00000000000006</v>
      </c>
      <c r="I30" s="38">
        <f>'All Costs'!H29+'All Costs'!H30</f>
        <v>782.02125000000024</v>
      </c>
      <c r="J30" s="38">
        <f>'All Costs'!I29+'All Costs'!I30</f>
        <v>1166.1958125000006</v>
      </c>
      <c r="K30" s="38">
        <f>'All Costs'!J29+'All Costs'!J30</f>
        <v>1551.6301781250008</v>
      </c>
      <c r="L30" s="38">
        <f>'All Costs'!K29+'All Costs'!K30</f>
        <v>1975.8565532812513</v>
      </c>
      <c r="M30" s="38">
        <f>'All Costs'!L29+'All Costs'!L30</f>
        <v>2480.7163407890644</v>
      </c>
      <c r="N30" s="38">
        <f>'All Costs'!M29+'All Costs'!M30</f>
        <v>3036.0663133207054</v>
      </c>
      <c r="O30" s="38">
        <f>'All Costs'!N29+'All Costs'!N30</f>
        <v>3646.9293018238504</v>
      </c>
      <c r="Q30" s="52" t="s">
        <v>52</v>
      </c>
    </row>
    <row r="31" spans="1:17" ht="4.95" customHeight="1" x14ac:dyDescent="0.3">
      <c r="B31" s="21"/>
      <c r="C31" s="33"/>
      <c r="D31" s="54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1:17" x14ac:dyDescent="0.3">
      <c r="B32" s="21"/>
      <c r="C32" s="33"/>
      <c r="D32" s="53" t="s">
        <v>481</v>
      </c>
      <c r="F32" s="38">
        <f>'All Costs'!E37+'All Costs'!E38</f>
        <v>20.25</v>
      </c>
      <c r="G32" s="38">
        <f>'All Costs'!F37+'All Costs'!F38</f>
        <v>47.70000000000001</v>
      </c>
      <c r="H32" s="38">
        <f>'All Costs'!G37+'All Costs'!G38</f>
        <v>91.800000000000011</v>
      </c>
      <c r="I32" s="38">
        <f>'All Costs'!H37+'All Costs'!H38</f>
        <v>156.40425000000005</v>
      </c>
      <c r="J32" s="38">
        <f>'All Costs'!I37+'All Costs'!I38</f>
        <v>233.23916250000013</v>
      </c>
      <c r="K32" s="38">
        <f>'All Costs'!J37+'All Costs'!J38</f>
        <v>310.3260356250002</v>
      </c>
      <c r="L32" s="38">
        <f>'All Costs'!K37+'All Costs'!K38</f>
        <v>395.17131065625028</v>
      </c>
      <c r="M32" s="38">
        <f>'All Costs'!L37+'All Costs'!L38</f>
        <v>496.14326815781288</v>
      </c>
      <c r="N32" s="38">
        <f>'All Costs'!M37+'All Costs'!M38</f>
        <v>607.2132626641411</v>
      </c>
      <c r="O32" s="38">
        <f>'All Costs'!N37+'All Costs'!N38</f>
        <v>729.38586036477011</v>
      </c>
      <c r="Q32" s="52" t="s">
        <v>52</v>
      </c>
    </row>
    <row r="33" spans="1:17" ht="4.95" customHeight="1" x14ac:dyDescent="0.3">
      <c r="B33" s="21"/>
      <c r="C33" s="33"/>
      <c r="D33" s="54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1:17" x14ac:dyDescent="0.3">
      <c r="B34" s="21"/>
      <c r="C34" s="33"/>
      <c r="D34" s="53" t="s">
        <v>482</v>
      </c>
      <c r="F34" s="38">
        <f>'All Costs'!E51</f>
        <v>27</v>
      </c>
      <c r="G34" s="38">
        <f>'All Costs'!F51</f>
        <v>79.200000000000017</v>
      </c>
      <c r="H34" s="38">
        <f>'All Costs'!G51</f>
        <v>163.35000000000002</v>
      </c>
      <c r="I34" s="38">
        <f>'All Costs'!H51</f>
        <v>287.49600000000009</v>
      </c>
      <c r="J34" s="38">
        <f>'All Costs'!I51</f>
        <v>434.83770000000027</v>
      </c>
      <c r="K34" s="38">
        <f>'All Costs'!J51</f>
        <v>581.1012900000004</v>
      </c>
      <c r="L34" s="38">
        <f>'All Costs'!K51</f>
        <v>740.90414475000057</v>
      </c>
      <c r="M34" s="38">
        <f>'All Costs'!L51</f>
        <v>930.48844061250077</v>
      </c>
      <c r="N34" s="38">
        <f>'All Costs'!M51</f>
        <v>1137.1789056993759</v>
      </c>
      <c r="O34" s="38">
        <f>'All Costs'!N51</f>
        <v>1362.2121961934074</v>
      </c>
      <c r="Q34" s="52" t="s">
        <v>52</v>
      </c>
    </row>
    <row r="35" spans="1:17" ht="4.95" customHeight="1" x14ac:dyDescent="0.3">
      <c r="B35" s="21"/>
      <c r="C35" s="33"/>
      <c r="D35" s="33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1:17" x14ac:dyDescent="0.3">
      <c r="B36" s="21"/>
      <c r="C36" s="33"/>
      <c r="D36" s="53" t="s">
        <v>473</v>
      </c>
      <c r="F36" s="38">
        <f>'All Costs'!E44</f>
        <v>13.5</v>
      </c>
      <c r="G36" s="38">
        <f>'All Costs'!F44</f>
        <v>16.2</v>
      </c>
      <c r="H36" s="38">
        <f>'All Costs'!G44</f>
        <v>20.25</v>
      </c>
      <c r="I36" s="38">
        <f>'All Costs'!H44</f>
        <v>25.3125</v>
      </c>
      <c r="J36" s="38">
        <f>'All Costs'!I44</f>
        <v>31.640625</v>
      </c>
      <c r="K36" s="38">
        <f>'All Costs'!J44</f>
        <v>39.55078125</v>
      </c>
      <c r="L36" s="38">
        <f>'All Costs'!K44</f>
        <v>49.4384765625</v>
      </c>
      <c r="M36" s="38">
        <f>'All Costs'!L44</f>
        <v>61.798095703125</v>
      </c>
      <c r="N36" s="38">
        <f>'All Costs'!M44</f>
        <v>77.24761962890625</v>
      </c>
      <c r="O36" s="38">
        <f>'All Costs'!N44</f>
        <v>96.559524536132813</v>
      </c>
      <c r="Q36" s="52" t="s">
        <v>52</v>
      </c>
    </row>
    <row r="37" spans="1:17" ht="4.95" customHeight="1" x14ac:dyDescent="0.3">
      <c r="B37" s="21"/>
      <c r="C37" s="33"/>
      <c r="D37" s="54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1:17" x14ac:dyDescent="0.3">
      <c r="B38" s="21"/>
      <c r="C38" s="33"/>
      <c r="D38" s="53" t="s">
        <v>483</v>
      </c>
      <c r="F38" s="38">
        <f>'All Costs'!E52</f>
        <v>10.8</v>
      </c>
      <c r="G38" s="38">
        <f>'All Costs'!F52</f>
        <v>31.680000000000007</v>
      </c>
      <c r="H38" s="38">
        <f>'All Costs'!G52</f>
        <v>65.34</v>
      </c>
      <c r="I38" s="38">
        <f>'All Costs'!H52</f>
        <v>114.99840000000005</v>
      </c>
      <c r="J38" s="38">
        <f>'All Costs'!I52</f>
        <v>173.93508000000008</v>
      </c>
      <c r="K38" s="38">
        <f>'All Costs'!J52</f>
        <v>232.44051600000014</v>
      </c>
      <c r="L38" s="38">
        <f>'All Costs'!K52</f>
        <v>296.36165790000024</v>
      </c>
      <c r="M38" s="38">
        <f>'All Costs'!L52</f>
        <v>372.19537624500032</v>
      </c>
      <c r="N38" s="38">
        <f>'All Costs'!M52</f>
        <v>454.87156227975038</v>
      </c>
      <c r="O38" s="38">
        <f>'All Costs'!N52</f>
        <v>544.88487847736292</v>
      </c>
      <c r="Q38" s="52" t="s">
        <v>52</v>
      </c>
    </row>
    <row r="39" spans="1:17" ht="4.95" customHeight="1" x14ac:dyDescent="0.3">
      <c r="B39" s="21"/>
      <c r="C39" s="33"/>
      <c r="D39" s="54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1:17" ht="4.95" customHeight="1" x14ac:dyDescent="0.3">
      <c r="B40"/>
      <c r="C40" s="33"/>
      <c r="D40" s="54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spans="1:17" s="49" customFormat="1" x14ac:dyDescent="0.3">
      <c r="A41" s="6"/>
      <c r="B41" s="21">
        <v>5</v>
      </c>
      <c r="C41" s="48"/>
      <c r="D41" s="55" t="s">
        <v>53</v>
      </c>
      <c r="F41" s="50">
        <f t="shared" ref="F41:O41" si="5">F25-F28</f>
        <v>184.8</v>
      </c>
      <c r="G41" s="50">
        <f t="shared" si="5"/>
        <v>651.77999999999986</v>
      </c>
      <c r="H41" s="50">
        <f t="shared" si="5"/>
        <v>1197.6149999999998</v>
      </c>
      <c r="I41" s="50">
        <f t="shared" si="5"/>
        <v>1893.8476500000002</v>
      </c>
      <c r="J41" s="50">
        <f t="shared" si="5"/>
        <v>2792.5537425000016</v>
      </c>
      <c r="K41" s="50">
        <f t="shared" si="5"/>
        <v>3632.8765391250008</v>
      </c>
      <c r="L41" s="50">
        <f t="shared" si="5"/>
        <v>4609.3395435562506</v>
      </c>
      <c r="M41" s="50">
        <f t="shared" si="5"/>
        <v>5800.9978503403163</v>
      </c>
      <c r="N41" s="50">
        <f t="shared" si="5"/>
        <v>7194.9366591001435</v>
      </c>
      <c r="O41" s="50">
        <f t="shared" si="5"/>
        <v>8833.595962930418</v>
      </c>
      <c r="P41" s="56"/>
      <c r="Q41" s="58"/>
    </row>
    <row r="42" spans="1:17" x14ac:dyDescent="0.3">
      <c r="B42" s="21"/>
      <c r="C42" s="48"/>
      <c r="D42" s="414" t="s">
        <v>513</v>
      </c>
      <c r="E42" s="49"/>
      <c r="F42" s="415">
        <f>F41/F$7</f>
        <v>0.29333333333333333</v>
      </c>
      <c r="G42" s="415">
        <f t="shared" ref="G42" si="6">G41/G$7</f>
        <v>0.3025905292479108</v>
      </c>
      <c r="H42" s="415">
        <f t="shared" ref="H42" si="7">H41/H$7</f>
        <v>0.31384040880503139</v>
      </c>
      <c r="I42" s="415">
        <f t="shared" ref="I42" si="8">I41/I$7</f>
        <v>0.31871769757585089</v>
      </c>
      <c r="J42" s="415">
        <f t="shared" ref="J42" si="9">J41/J$7</f>
        <v>0.32161224571059727</v>
      </c>
      <c r="K42" s="415">
        <f t="shared" ref="K42" si="10">K41/K$7</f>
        <v>0.32163066989310019</v>
      </c>
      <c r="L42" s="415">
        <f t="shared" ref="L42" si="11">L41/L$7</f>
        <v>0.32120980313208475</v>
      </c>
      <c r="M42" s="415">
        <f t="shared" ref="M42" si="12">M41/M$7</f>
        <v>0.32063195670820294</v>
      </c>
      <c r="N42" s="415">
        <f t="shared" ref="N42" si="13">N41/N$7</f>
        <v>0.31976113262680067</v>
      </c>
      <c r="O42" s="415">
        <f t="shared" ref="O42" si="14">O41/O$7</f>
        <v>0.31865105391865628</v>
      </c>
      <c r="P42" s="56"/>
      <c r="Q42" s="58"/>
    </row>
    <row r="43" spans="1:17" ht="11.1" customHeight="1" x14ac:dyDescent="0.3">
      <c r="B43" s="39"/>
      <c r="C43" s="33"/>
      <c r="D43" s="54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1:17" x14ac:dyDescent="0.3">
      <c r="B44" s="21">
        <v>6</v>
      </c>
      <c r="C44" s="33"/>
      <c r="D44" s="17" t="s">
        <v>54</v>
      </c>
      <c r="F44" s="38">
        <f>DAS!F85</f>
        <v>37.351707531118187</v>
      </c>
      <c r="G44" s="38">
        <f>DAS!H85</f>
        <v>39.852912334725659</v>
      </c>
      <c r="H44" s="38">
        <f>DAS!J85</f>
        <v>44.969264067363056</v>
      </c>
      <c r="I44" s="38">
        <f>DAS!L85</f>
        <v>53.665192197664368</v>
      </c>
      <c r="J44" s="38">
        <f>DAS!N85</f>
        <v>62.148476312908265</v>
      </c>
      <c r="K44" s="38">
        <f>DAS!P85</f>
        <v>69.252604271462346</v>
      </c>
      <c r="L44" s="38">
        <f>DAS!R85</f>
        <v>81.864079198508094</v>
      </c>
      <c r="M44" s="38">
        <f>DAS!T85</f>
        <v>92.253210738527073</v>
      </c>
      <c r="N44" s="38">
        <f>DAS!V85</f>
        <v>105.32779360403521</v>
      </c>
      <c r="O44" s="38">
        <f>DAS!X85</f>
        <v>126.01992448480416</v>
      </c>
      <c r="Q44" s="52" t="s">
        <v>55</v>
      </c>
    </row>
    <row r="45" spans="1:17" ht="11.1" customHeight="1" x14ac:dyDescent="0.3">
      <c r="A45" s="59"/>
      <c r="B45" s="39"/>
      <c r="C45" s="33"/>
      <c r="D45" s="54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1:17" s="49" customFormat="1" x14ac:dyDescent="0.3">
      <c r="A46" s="6"/>
      <c r="B46" s="21">
        <v>7</v>
      </c>
      <c r="C46" s="48"/>
      <c r="D46" s="55" t="s">
        <v>56</v>
      </c>
      <c r="F46" s="50">
        <f t="shared" ref="F46:O46" si="15">F41-F44</f>
        <v>147.44829246888182</v>
      </c>
      <c r="G46" s="50">
        <f t="shared" si="15"/>
        <v>611.92708766527426</v>
      </c>
      <c r="H46" s="50">
        <f t="shared" si="15"/>
        <v>1152.6457359326366</v>
      </c>
      <c r="I46" s="50">
        <f t="shared" si="15"/>
        <v>1840.1824578023359</v>
      </c>
      <c r="J46" s="50">
        <f t="shared" si="15"/>
        <v>2730.4052661870933</v>
      </c>
      <c r="K46" s="50">
        <f t="shared" si="15"/>
        <v>3563.6239348535387</v>
      </c>
      <c r="L46" s="50">
        <f t="shared" si="15"/>
        <v>4527.4754643577426</v>
      </c>
      <c r="M46" s="50">
        <f t="shared" si="15"/>
        <v>5708.7446396017895</v>
      </c>
      <c r="N46" s="50">
        <f t="shared" si="15"/>
        <v>7089.6088654961086</v>
      </c>
      <c r="O46" s="50">
        <f t="shared" si="15"/>
        <v>8707.5760384456134</v>
      </c>
      <c r="P46" s="56"/>
      <c r="Q46" s="58"/>
    </row>
    <row r="47" spans="1:17" x14ac:dyDescent="0.3">
      <c r="B47" s="21"/>
      <c r="C47" s="48"/>
      <c r="D47" s="414" t="s">
        <v>514</v>
      </c>
      <c r="E47" s="49"/>
      <c r="F47" s="415">
        <f>F46/F$7</f>
        <v>0.2340449086807648</v>
      </c>
      <c r="G47" s="415">
        <f t="shared" ref="G47" si="16">G46/G$7</f>
        <v>0.28408871293652471</v>
      </c>
      <c r="H47" s="415">
        <f t="shared" ref="H47" si="17">H46/H$7</f>
        <v>0.3020560104645274</v>
      </c>
      <c r="I47" s="415">
        <f t="shared" ref="I47" si="18">I46/I$7</f>
        <v>0.30968632353834313</v>
      </c>
      <c r="J47" s="415">
        <f t="shared" ref="J47" si="19">J46/J$7</f>
        <v>0.31445474298100162</v>
      </c>
      <c r="K47" s="415">
        <f t="shared" ref="K47" si="20">K46/K$7</f>
        <v>0.31549950598929277</v>
      </c>
      <c r="L47" s="415">
        <f t="shared" ref="L47" si="21">L46/L$7</f>
        <v>0.3155049630970948</v>
      </c>
      <c r="M47" s="415">
        <f t="shared" ref="M47" si="22">M46/M$7</f>
        <v>0.31553294991060987</v>
      </c>
      <c r="N47" s="415">
        <f t="shared" ref="N47" si="23">N46/N$7</f>
        <v>0.31508009981502322</v>
      </c>
      <c r="O47" s="415">
        <f t="shared" ref="O47" si="24">O46/O$7</f>
        <v>0.31410518359355361</v>
      </c>
      <c r="P47" s="56"/>
      <c r="Q47" s="58"/>
    </row>
    <row r="48" spans="1:17" ht="11.1" customHeight="1" x14ac:dyDescent="0.3">
      <c r="B48" s="39"/>
      <c r="C48" s="33"/>
      <c r="D48" s="54"/>
      <c r="F48" s="37"/>
      <c r="G48" s="37"/>
      <c r="H48" s="37"/>
      <c r="I48" s="37"/>
      <c r="J48" s="37"/>
      <c r="K48" s="37"/>
      <c r="L48" s="37"/>
      <c r="M48" s="37"/>
      <c r="N48" s="37"/>
      <c r="O48" s="37"/>
    </row>
    <row r="49" spans="1:17" x14ac:dyDescent="0.3">
      <c r="B49" s="21">
        <v>8</v>
      </c>
      <c r="C49" s="33"/>
      <c r="D49" s="17" t="s">
        <v>57</v>
      </c>
      <c r="F49" s="38">
        <f>'Debt Schedule'!C66</f>
        <v>179.66495140251976</v>
      </c>
      <c r="G49" s="38">
        <f>'Debt Schedule'!D66</f>
        <v>173.6752757722104</v>
      </c>
      <c r="H49" s="38">
        <f>'Debt Schedule'!E66</f>
        <v>167.01762314594339</v>
      </c>
      <c r="I49" s="38">
        <f>'Debt Schedule'!F66</f>
        <v>159.61465918129514</v>
      </c>
      <c r="J49" s="38">
        <f>'Debt Schedule'!G66</f>
        <v>151.37989135057518</v>
      </c>
      <c r="K49" s="38">
        <f>'Debt Schedule'!H66</f>
        <v>142.3114352230298</v>
      </c>
      <c r="L49" s="38">
        <f>'Debt Schedule'!I66</f>
        <v>135.77613742875874</v>
      </c>
      <c r="M49" s="38">
        <f>'Debt Schedule'!J66</f>
        <v>132.76350374239027</v>
      </c>
      <c r="N49" s="38">
        <f>'Debt Schedule'!K66</f>
        <v>129.48547027967638</v>
      </c>
      <c r="O49" s="38">
        <f>'Debt Schedule'!L66</f>
        <v>125.91700419276026</v>
      </c>
      <c r="Q49" s="52" t="s">
        <v>58</v>
      </c>
    </row>
    <row r="50" spans="1:17" ht="11.1" customHeight="1" x14ac:dyDescent="0.3">
      <c r="B50" s="39"/>
      <c r="C50" s="33"/>
      <c r="D50" s="54"/>
      <c r="F50" s="37"/>
      <c r="G50" s="37"/>
      <c r="H50" s="37"/>
      <c r="I50" s="37"/>
      <c r="J50" s="37"/>
      <c r="K50" s="37"/>
      <c r="L50" s="37"/>
      <c r="M50" s="37"/>
      <c r="N50" s="37"/>
      <c r="O50" s="37"/>
    </row>
    <row r="51" spans="1:17" s="49" customFormat="1" x14ac:dyDescent="0.3">
      <c r="A51" s="6"/>
      <c r="B51" s="21">
        <v>9</v>
      </c>
      <c r="C51" s="48"/>
      <c r="D51" s="55" t="s">
        <v>59</v>
      </c>
      <c r="F51" s="50">
        <f>F46-F49</f>
        <v>-32.216658933637945</v>
      </c>
      <c r="G51" s="50">
        <f t="shared" ref="G51:O51" si="25">G46-G49</f>
        <v>438.25181189306386</v>
      </c>
      <c r="H51" s="50">
        <f t="shared" si="25"/>
        <v>985.62811278669324</v>
      </c>
      <c r="I51" s="50">
        <f t="shared" si="25"/>
        <v>1680.5677986210408</v>
      </c>
      <c r="J51" s="50">
        <f t="shared" si="25"/>
        <v>2579.025374836518</v>
      </c>
      <c r="K51" s="50">
        <f t="shared" si="25"/>
        <v>3421.3124996305087</v>
      </c>
      <c r="L51" s="50">
        <f t="shared" si="25"/>
        <v>4391.6993269289842</v>
      </c>
      <c r="M51" s="50">
        <f t="shared" si="25"/>
        <v>5575.9811358593988</v>
      </c>
      <c r="N51" s="50">
        <f t="shared" si="25"/>
        <v>6960.1233952164321</v>
      </c>
      <c r="O51" s="50">
        <f t="shared" si="25"/>
        <v>8581.6590342528525</v>
      </c>
      <c r="P51" s="56"/>
      <c r="Q51" s="58"/>
    </row>
    <row r="52" spans="1:17" x14ac:dyDescent="0.3">
      <c r="B52" s="21"/>
      <c r="C52" s="48"/>
      <c r="D52" s="414" t="s">
        <v>516</v>
      </c>
      <c r="E52" s="49"/>
      <c r="F52" s="415">
        <f>F51/F$7</f>
        <v>-5.1137553862917372E-2</v>
      </c>
      <c r="G52" s="415">
        <f t="shared" ref="G52" si="26">G51/G$7</f>
        <v>0.20345952269872974</v>
      </c>
      <c r="H52" s="415">
        <f t="shared" ref="H52" si="27">H51/H$7</f>
        <v>0.25828828951433264</v>
      </c>
      <c r="I52" s="415">
        <f t="shared" ref="I52" si="28">I51/I$7</f>
        <v>0.28282459753117645</v>
      </c>
      <c r="J52" s="415">
        <f t="shared" ref="J52" si="29">J51/J$7</f>
        <v>0.29702065529569199</v>
      </c>
      <c r="K52" s="415">
        <f t="shared" ref="K52" si="30">K51/K$7</f>
        <v>0.30290020024595582</v>
      </c>
      <c r="L52" s="415">
        <f t="shared" ref="L52" si="31">L51/L$7</f>
        <v>0.30604316798276093</v>
      </c>
      <c r="M52" s="415">
        <f t="shared" ref="M52" si="32">M51/M$7</f>
        <v>0.30819486376016209</v>
      </c>
      <c r="N52" s="415">
        <f t="shared" ref="N52" si="33">N51/N$7</f>
        <v>0.30932543891985398</v>
      </c>
      <c r="O52" s="415">
        <f t="shared" ref="O52" si="34">O51/O$7</f>
        <v>0.30956302587424211</v>
      </c>
      <c r="P52" s="56"/>
      <c r="Q52" s="58"/>
    </row>
    <row r="53" spans="1:17" ht="11.1" customHeight="1" x14ac:dyDescent="0.3">
      <c r="B53" s="39"/>
      <c r="C53" s="33"/>
      <c r="D53" s="54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spans="1:17" x14ac:dyDescent="0.3">
      <c r="B54" s="21">
        <v>10</v>
      </c>
      <c r="C54" s="33"/>
      <c r="D54" s="53" t="s">
        <v>60</v>
      </c>
      <c r="F54" s="38">
        <f>MAX(0,F51*$Q$54)</f>
        <v>0</v>
      </c>
      <c r="G54" s="38">
        <f>MAX(0,G51*$Q$54)</f>
        <v>131.47554356791915</v>
      </c>
      <c r="H54" s="38">
        <f>MAX(0,SUM(F51:H51)*$Q$54)</f>
        <v>417.4989797238357</v>
      </c>
      <c r="I54" s="38">
        <f>MAX(0,SUM(F51:I51)-262.85)*$Q$54</f>
        <v>842.81431931014799</v>
      </c>
      <c r="J54" s="38">
        <f>MAX(0,(J51-149.33)*$Q$54)</f>
        <v>728.90861245095539</v>
      </c>
      <c r="K54" s="38">
        <f>MAX(0,K51*$Q$54)</f>
        <v>1026.3937498891526</v>
      </c>
      <c r="L54" s="38">
        <f>MAX(0,L51*$Q$54)</f>
        <v>1317.5097980786952</v>
      </c>
      <c r="M54" s="38">
        <f>MAX(0,M51*$Q$54)</f>
        <v>1672.7943407578196</v>
      </c>
      <c r="N54" s="38">
        <f>MAX(0,N51*$Q$54)</f>
        <v>2088.0370185649294</v>
      </c>
      <c r="O54" s="38">
        <f>MAX(0,O51*$Q$54)</f>
        <v>2574.4977102758558</v>
      </c>
      <c r="Q54" s="60">
        <v>0.3</v>
      </c>
    </row>
    <row r="55" spans="1:17" ht="11.1" customHeight="1" x14ac:dyDescent="0.3">
      <c r="B55" s="39"/>
      <c r="C55" s="33"/>
      <c r="D55" s="54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spans="1:17" s="49" customFormat="1" x14ac:dyDescent="0.3">
      <c r="A56" s="6"/>
      <c r="B56" s="21">
        <v>11</v>
      </c>
      <c r="C56" s="48"/>
      <c r="D56" s="55" t="s">
        <v>61</v>
      </c>
      <c r="F56" s="50">
        <f t="shared" ref="F56:O56" si="35">F51-F54</f>
        <v>-32.216658933637945</v>
      </c>
      <c r="G56" s="50">
        <f t="shared" si="35"/>
        <v>306.77626832514471</v>
      </c>
      <c r="H56" s="50">
        <f t="shared" si="35"/>
        <v>568.12913306285759</v>
      </c>
      <c r="I56" s="50">
        <f t="shared" si="35"/>
        <v>837.75347931089277</v>
      </c>
      <c r="J56" s="50">
        <f t="shared" si="35"/>
        <v>1850.1167623855627</v>
      </c>
      <c r="K56" s="50">
        <f t="shared" si="35"/>
        <v>2394.9187497413559</v>
      </c>
      <c r="L56" s="50">
        <f t="shared" si="35"/>
        <v>3074.1895288502892</v>
      </c>
      <c r="M56" s="50">
        <f t="shared" si="35"/>
        <v>3903.1867951015793</v>
      </c>
      <c r="N56" s="50">
        <f t="shared" si="35"/>
        <v>4872.0863766515031</v>
      </c>
      <c r="O56" s="50">
        <f t="shared" si="35"/>
        <v>6007.1613239769968</v>
      </c>
      <c r="P56" s="56"/>
      <c r="Q56" s="58"/>
    </row>
    <row r="57" spans="1:17" x14ac:dyDescent="0.3">
      <c r="B57" s="21"/>
      <c r="C57" s="48"/>
      <c r="D57" s="414" t="s">
        <v>515</v>
      </c>
      <c r="E57" s="49"/>
      <c r="F57" s="415">
        <f>F56/F$7</f>
        <v>-5.1137553862917372E-2</v>
      </c>
      <c r="G57" s="415">
        <f t="shared" ref="G57" si="36">G56/G$7</f>
        <v>0.14242166588911082</v>
      </c>
      <c r="H57" s="415">
        <f t="shared" ref="H57" si="37">H56/H$7</f>
        <v>0.14888080006888302</v>
      </c>
      <c r="I57" s="415">
        <f t="shared" ref="I57" si="38">I56/I$7</f>
        <v>0.14098645160930762</v>
      </c>
      <c r="J57" s="415">
        <f t="shared" ref="J57" si="39">J56/J$7</f>
        <v>0.21307386057500019</v>
      </c>
      <c r="K57" s="415">
        <f t="shared" ref="K57" si="40">K56/K$7</f>
        <v>0.21203014017216903</v>
      </c>
      <c r="L57" s="415">
        <f t="shared" ref="L57" si="41">L56/L$7</f>
        <v>0.21423021758793268</v>
      </c>
      <c r="M57" s="415">
        <f t="shared" ref="M57" si="42">M56/M$7</f>
        <v>0.21573640463211347</v>
      </c>
      <c r="N57" s="415">
        <f t="shared" ref="N57" si="43">N56/N$7</f>
        <v>0.21652780724389781</v>
      </c>
      <c r="O57" s="415">
        <f t="shared" ref="O57" si="44">O56/O$7</f>
        <v>0.21669411811196948</v>
      </c>
      <c r="P57" s="56"/>
      <c r="Q57" s="58"/>
    </row>
    <row r="58" spans="1:17" ht="4.95" customHeight="1" x14ac:dyDescent="0.3">
      <c r="B58" s="39"/>
      <c r="C58" s="33"/>
      <c r="D58" s="54"/>
      <c r="F58" s="37"/>
      <c r="G58" s="37"/>
      <c r="H58" s="37"/>
      <c r="I58" s="37"/>
      <c r="J58" s="37"/>
      <c r="K58" s="37"/>
      <c r="L58" s="37"/>
      <c r="M58" s="37"/>
      <c r="N58" s="37"/>
      <c r="O58" s="37"/>
    </row>
    <row r="59" spans="1:17" ht="4.95" customHeight="1" x14ac:dyDescent="0.3">
      <c r="B59" s="39"/>
      <c r="C59" s="33"/>
      <c r="D59" s="33"/>
      <c r="F59" s="56"/>
      <c r="G59" s="56"/>
      <c r="H59" s="56"/>
      <c r="I59" s="56"/>
      <c r="J59" s="56"/>
      <c r="K59" s="56"/>
      <c r="L59" s="56"/>
      <c r="M59" s="56"/>
      <c r="N59" s="56"/>
      <c r="O59" s="56"/>
    </row>
    <row r="60" spans="1:17" x14ac:dyDescent="0.3">
      <c r="B60" s="39"/>
      <c r="C60" s="33"/>
      <c r="D60" s="54"/>
    </row>
    <row r="61" spans="1:17" ht="4.95" customHeight="1" x14ac:dyDescent="0.3">
      <c r="B61" s="39"/>
      <c r="C61" s="33"/>
      <c r="D61" s="54"/>
    </row>
    <row r="62" spans="1:17" x14ac:dyDescent="0.3">
      <c r="B62" s="39"/>
      <c r="C62" s="33"/>
      <c r="D62" s="54"/>
    </row>
    <row r="63" spans="1:17" x14ac:dyDescent="0.3">
      <c r="B63" s="39"/>
      <c r="C63" s="33"/>
      <c r="D63" s="33"/>
    </row>
    <row r="64" spans="1:17" x14ac:dyDescent="0.3">
      <c r="B64" s="39"/>
      <c r="C64" s="33"/>
      <c r="D64" s="33"/>
    </row>
  </sheetData>
  <pageMargins left="0.70866141732283505" right="0.70866141732283505" top="0.74803149606299202" bottom="0.74803149606299202" header="0.31496062992126" footer="0.31496062992126"/>
  <pageSetup paperSize="9" scale="66" orientation="landscape" errors="blank" r:id="rId1"/>
  <headerFooter>
    <oddFooter>&amp;C&amp;"Ubuntu,Regular"&amp;K346D9CPage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9000-C1AB-4244-954B-6F598751D726}">
  <sheetPr>
    <tabColor rgb="FF7030A0"/>
    <pageSetUpPr fitToPage="1"/>
  </sheetPr>
  <dimension ref="A1:Z156"/>
  <sheetViews>
    <sheetView showGridLines="0" topLeftCell="B25" zoomScaleNormal="100" zoomScaleSheetLayoutView="100" workbookViewId="0">
      <selection activeCell="F58" sqref="F58"/>
    </sheetView>
  </sheetViews>
  <sheetFormatPr defaultColWidth="8.6640625" defaultRowHeight="14.4" x14ac:dyDescent="0.3"/>
  <cols>
    <col min="1" max="1" width="3.44140625" style="6" customWidth="1"/>
    <col min="2" max="2" width="6.44140625" style="4" bestFit="1" customWidth="1"/>
    <col min="3" max="3" width="0.77734375" style="4" customWidth="1"/>
    <col min="4" max="4" width="36.5546875" style="4" bestFit="1" customWidth="1"/>
    <col min="5" max="5" width="0.77734375" style="4" customWidth="1"/>
    <col min="6" max="10" width="10.77734375" style="24" bestFit="1" customWidth="1"/>
    <col min="11" max="12" width="8.6640625" style="4"/>
    <col min="13" max="14" width="9.88671875" style="4" bestFit="1" customWidth="1"/>
    <col min="15" max="15" width="9.6640625" style="4" bestFit="1" customWidth="1"/>
    <col min="16" max="16384" width="8.6640625" style="4"/>
  </cols>
  <sheetData>
    <row r="1" spans="1:26" ht="5.0999999999999996" customHeight="1" thickBot="1" x14ac:dyDescent="0.35">
      <c r="A1" s="1"/>
      <c r="F1" s="4"/>
      <c r="J1" s="3"/>
    </row>
    <row r="2" spans="1:26" s="3" customFormat="1" x14ac:dyDescent="0.3">
      <c r="A2" s="6"/>
      <c r="D2" s="61" t="s">
        <v>62</v>
      </c>
      <c r="E2" s="62"/>
      <c r="F2" s="63">
        <f>BS!F51</f>
        <v>2738.0138745324361</v>
      </c>
      <c r="G2" s="63">
        <f>BS!G51</f>
        <v>2701.5728828688352</v>
      </c>
      <c r="H2" s="63">
        <f>BS!H51</f>
        <v>3054.1693875778246</v>
      </c>
      <c r="I2" s="63">
        <f>BS!I51</f>
        <v>3732.0171429594952</v>
      </c>
      <c r="J2" s="64">
        <f>BS!J51</f>
        <v>4784.724462878683</v>
      </c>
      <c r="K2" s="64">
        <f>BS!K51</f>
        <v>6797.4835099424108</v>
      </c>
      <c r="L2" s="64">
        <f>BS!L51</f>
        <v>9440.7406030023521</v>
      </c>
      <c r="M2" s="64">
        <f>BS!M51</f>
        <v>12881.012635325802</v>
      </c>
      <c r="N2" s="64">
        <f>BS!N51</f>
        <v>17227.976181623588</v>
      </c>
      <c r="O2" s="64">
        <f>BS!O51</f>
        <v>22614.26991478803</v>
      </c>
    </row>
    <row r="3" spans="1:26" s="3" customFormat="1" ht="15" thickBot="1" x14ac:dyDescent="0.35">
      <c r="A3" s="6"/>
      <c r="D3" s="65" t="s">
        <v>63</v>
      </c>
      <c r="E3" s="66"/>
      <c r="F3" s="67">
        <f t="shared" ref="F3:O3" si="0">F2-F58</f>
        <v>0</v>
      </c>
      <c r="G3" s="67">
        <f t="shared" si="0"/>
        <v>0</v>
      </c>
      <c r="H3" s="67">
        <f t="shared" si="0"/>
        <v>0</v>
      </c>
      <c r="I3" s="67">
        <f t="shared" si="0"/>
        <v>0</v>
      </c>
      <c r="J3" s="68">
        <f t="shared" si="0"/>
        <v>0</v>
      </c>
      <c r="K3" s="68">
        <f t="shared" si="0"/>
        <v>0</v>
      </c>
      <c r="L3" s="68">
        <f t="shared" si="0"/>
        <v>0</v>
      </c>
      <c r="M3" s="68">
        <f t="shared" si="0"/>
        <v>0</v>
      </c>
      <c r="N3" s="68">
        <f t="shared" si="0"/>
        <v>0</v>
      </c>
      <c r="O3" s="68">
        <f t="shared" si="0"/>
        <v>0</v>
      </c>
    </row>
    <row r="4" spans="1:26" ht="5.0999999999999996" customHeight="1" x14ac:dyDescent="0.3">
      <c r="F4" s="4"/>
      <c r="J4" s="3"/>
    </row>
    <row r="5" spans="1:26" ht="21" x14ac:dyDescent="0.3">
      <c r="B5" s="7" t="s">
        <v>64</v>
      </c>
      <c r="C5" s="9"/>
      <c r="D5" s="29"/>
      <c r="E5" s="9"/>
      <c r="F5" s="10"/>
      <c r="G5" s="10"/>
      <c r="H5" s="10"/>
      <c r="I5" s="10"/>
      <c r="J5" s="10"/>
    </row>
    <row r="6" spans="1:26" ht="18" customHeight="1" x14ac:dyDescent="0.3">
      <c r="B6" s="29"/>
      <c r="C6" s="9"/>
      <c r="D6" s="29"/>
      <c r="E6" s="9"/>
      <c r="F6" s="10"/>
      <c r="G6" s="10"/>
      <c r="H6" s="10"/>
      <c r="I6" s="10"/>
      <c r="K6" s="30"/>
      <c r="O6" s="31" t="str">
        <f>Do</f>
        <v>(₹ in Lakhs)</v>
      </c>
    </row>
    <row r="7" spans="1:26" ht="4.95" customHeight="1" x14ac:dyDescent="0.3"/>
    <row r="8" spans="1:26" x14ac:dyDescent="0.3">
      <c r="B8" s="32" t="s">
        <v>1</v>
      </c>
      <c r="D8" s="32" t="s">
        <v>2</v>
      </c>
      <c r="F8" s="14" t="str">
        <f>BS!F7</f>
        <v>25-26</v>
      </c>
      <c r="G8" s="14" t="str">
        <f>BS!G7</f>
        <v>26-27</v>
      </c>
      <c r="H8" s="14" t="str">
        <f>BS!H7</f>
        <v>27-28</v>
      </c>
      <c r="I8" s="14" t="str">
        <f>BS!I7</f>
        <v>28-29</v>
      </c>
      <c r="J8" s="14" t="str">
        <f>BS!J7</f>
        <v>29-30</v>
      </c>
      <c r="K8" s="14" t="str">
        <f>BS!K7</f>
        <v>30-31</v>
      </c>
      <c r="L8" s="14" t="str">
        <f>BS!L7</f>
        <v>31-32</v>
      </c>
      <c r="M8" s="14" t="str">
        <f>BS!M7</f>
        <v>32-33</v>
      </c>
      <c r="N8" s="14" t="str">
        <f>BS!N7</f>
        <v>33-34</v>
      </c>
      <c r="O8" s="14" t="str">
        <f>BS!O7</f>
        <v>34-35</v>
      </c>
    </row>
    <row r="9" spans="1:26" ht="4.95" customHeight="1" x14ac:dyDescent="0.3">
      <c r="K9" s="24"/>
      <c r="L9" s="24"/>
      <c r="M9" s="24"/>
      <c r="N9" s="24"/>
      <c r="O9" s="24"/>
    </row>
    <row r="10" spans="1:26" ht="15.6" x14ac:dyDescent="0.3">
      <c r="B10" s="443" t="s">
        <v>65</v>
      </c>
      <c r="C10" s="443"/>
      <c r="D10" s="443"/>
      <c r="K10" s="24"/>
      <c r="L10" s="24"/>
      <c r="M10" s="24"/>
      <c r="N10" s="24"/>
      <c r="O10" s="24"/>
    </row>
    <row r="11" spans="1:26" ht="4.95" customHeight="1" x14ac:dyDescent="0.3">
      <c r="K11" s="24"/>
      <c r="L11" s="24"/>
      <c r="M11" s="24"/>
      <c r="N11" s="24"/>
      <c r="O11" s="24"/>
    </row>
    <row r="12" spans="1:26" x14ac:dyDescent="0.3">
      <c r="B12" s="15">
        <v>1</v>
      </c>
      <c r="C12" s="33"/>
      <c r="D12" s="17" t="s">
        <v>66</v>
      </c>
      <c r="F12" s="38">
        <f>'P&amp;L'!F56</f>
        <v>-32.216658933637945</v>
      </c>
      <c r="G12" s="38">
        <f>'P&amp;L'!G56</f>
        <v>306.77626832514471</v>
      </c>
      <c r="H12" s="38">
        <f>'P&amp;L'!H56</f>
        <v>568.12913306285759</v>
      </c>
      <c r="I12" s="38">
        <f>'P&amp;L'!I56</f>
        <v>837.75347931089277</v>
      </c>
      <c r="J12" s="38">
        <f>'P&amp;L'!J56</f>
        <v>1850.1167623855627</v>
      </c>
      <c r="K12" s="38">
        <f>'P&amp;L'!K56</f>
        <v>2394.9187497413559</v>
      </c>
      <c r="L12" s="38">
        <f>'P&amp;L'!L56</f>
        <v>3074.1895288502892</v>
      </c>
      <c r="M12" s="38">
        <f>'P&amp;L'!M56</f>
        <v>3903.1867951015793</v>
      </c>
      <c r="N12" s="38">
        <f>'P&amp;L'!N56</f>
        <v>4872.0863766515031</v>
      </c>
      <c r="O12" s="38">
        <f>'P&amp;L'!O56</f>
        <v>6007.1613239769968</v>
      </c>
    </row>
    <row r="13" spans="1:26" ht="4.95" customHeight="1" x14ac:dyDescent="0.3">
      <c r="B13" s="69"/>
      <c r="C13" s="33"/>
      <c r="D13" s="33"/>
      <c r="F13" s="37"/>
      <c r="G13" s="37"/>
      <c r="H13" s="37"/>
      <c r="I13" s="37"/>
      <c r="J13" s="37"/>
      <c r="K13" s="37"/>
      <c r="L13" s="37"/>
      <c r="M13" s="37"/>
      <c r="N13" s="37"/>
      <c r="O13" s="37"/>
    </row>
    <row r="14" spans="1:26" x14ac:dyDescent="0.3">
      <c r="B14" s="15">
        <v>2</v>
      </c>
      <c r="C14" s="33"/>
      <c r="D14" s="17" t="s">
        <v>67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spans="1:26" ht="4.95" customHeight="1" x14ac:dyDescent="0.3">
      <c r="B15" s="69"/>
      <c r="C15" s="33"/>
      <c r="D15" s="33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26" x14ac:dyDescent="0.3">
      <c r="B16" s="15">
        <v>2.1</v>
      </c>
      <c r="C16" s="33"/>
      <c r="D16" s="70" t="s">
        <v>54</v>
      </c>
      <c r="F16" s="38">
        <f>'P&amp;L'!F44</f>
        <v>37.351707531118187</v>
      </c>
      <c r="G16" s="38">
        <f>'P&amp;L'!G44</f>
        <v>39.852912334725659</v>
      </c>
      <c r="H16" s="38">
        <f>'P&amp;L'!H44</f>
        <v>44.969264067363056</v>
      </c>
      <c r="I16" s="38">
        <f>'P&amp;L'!I44</f>
        <v>53.665192197664368</v>
      </c>
      <c r="J16" s="38">
        <f>'P&amp;L'!J44</f>
        <v>62.148476312908265</v>
      </c>
      <c r="K16" s="38">
        <f>'P&amp;L'!K44</f>
        <v>69.252604271462346</v>
      </c>
      <c r="L16" s="38">
        <f>'P&amp;L'!L44</f>
        <v>81.864079198508094</v>
      </c>
      <c r="M16" s="38">
        <f>'P&amp;L'!M44</f>
        <v>92.253210738527073</v>
      </c>
      <c r="N16" s="38">
        <f>'P&amp;L'!N44</f>
        <v>105.32779360403521</v>
      </c>
      <c r="O16" s="38">
        <f>'P&amp;L'!O44</f>
        <v>126.01992448480416</v>
      </c>
      <c r="Z16" s="33"/>
    </row>
    <row r="17" spans="2:16" ht="4.95" customHeight="1" x14ac:dyDescent="0.3">
      <c r="B17" s="69"/>
      <c r="C17" s="33"/>
      <c r="D17" s="71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2:16" x14ac:dyDescent="0.3">
      <c r="B18" s="15">
        <v>2.2000000000000002</v>
      </c>
      <c r="C18" s="33"/>
      <c r="D18" s="70" t="s">
        <v>57</v>
      </c>
      <c r="F18" s="38">
        <f>'P&amp;L'!F49</f>
        <v>179.66495140251976</v>
      </c>
      <c r="G18" s="38">
        <f>'P&amp;L'!G49</f>
        <v>173.6752757722104</v>
      </c>
      <c r="H18" s="38">
        <f>'P&amp;L'!H49</f>
        <v>167.01762314594339</v>
      </c>
      <c r="I18" s="38">
        <f>'P&amp;L'!I49</f>
        <v>159.61465918129514</v>
      </c>
      <c r="J18" s="38">
        <f>'P&amp;L'!J49</f>
        <v>151.37989135057518</v>
      </c>
      <c r="K18" s="38">
        <f>'P&amp;L'!K49</f>
        <v>142.3114352230298</v>
      </c>
      <c r="L18" s="38">
        <f>'P&amp;L'!L49</f>
        <v>135.77613742875874</v>
      </c>
      <c r="M18" s="38">
        <f>'P&amp;L'!M49</f>
        <v>132.76350374239027</v>
      </c>
      <c r="N18" s="38">
        <f>'P&amp;L'!N49</f>
        <v>129.48547027967638</v>
      </c>
      <c r="O18" s="38">
        <f>'P&amp;L'!O49</f>
        <v>125.91700419276026</v>
      </c>
    </row>
    <row r="19" spans="2:16" ht="4.95" customHeight="1" x14ac:dyDescent="0.3">
      <c r="B19" s="69"/>
      <c r="C19" s="33"/>
      <c r="D19" s="71"/>
      <c r="F19" s="37"/>
      <c r="G19" s="37"/>
      <c r="H19" s="37"/>
      <c r="I19" s="37"/>
      <c r="J19" s="37"/>
      <c r="K19" s="37"/>
      <c r="L19" s="37"/>
      <c r="M19" s="37"/>
      <c r="N19" s="37"/>
      <c r="O19" s="37"/>
    </row>
    <row r="20" spans="2:16" x14ac:dyDescent="0.3">
      <c r="B20" s="15">
        <v>2.2999999999999998</v>
      </c>
      <c r="C20" s="33"/>
      <c r="D20" s="70" t="s">
        <v>496</v>
      </c>
      <c r="F20" s="38">
        <f>BS!F79+BS!F81+BS!F83</f>
        <v>-68.307523763013691</v>
      </c>
      <c r="G20" s="38">
        <f>BS!G79+BS!G81+BS!G83</f>
        <v>-203.55863013698632</v>
      </c>
      <c r="H20" s="38">
        <f>BS!H79+BS!H81+BS!H83</f>
        <v>-206.57445205479456</v>
      </c>
      <c r="I20" s="38">
        <f>BS!I79+BS!I81+BS!I83</f>
        <v>-257.53465273972608</v>
      </c>
      <c r="J20" s="38">
        <f>BS!J79+BS!J81+BS!J83</f>
        <v>-337.33455811643847</v>
      </c>
      <c r="K20" s="38">
        <f>BS!K79+BS!K81+BS!K83</f>
        <v>-319.86170533047959</v>
      </c>
      <c r="L20" s="38">
        <f>BS!L79+BS!L81+BS!L83</f>
        <v>-379.14754906926402</v>
      </c>
      <c r="M20" s="38">
        <f>BS!M79+BS!M81+BS!M83</f>
        <v>-467.4661486906208</v>
      </c>
      <c r="N20" s="38">
        <f>BS!N79+BS!N81+BS!N83</f>
        <v>-558.29286096888904</v>
      </c>
      <c r="O20" s="38">
        <f>BS!O79+BS!O81+BS!O83</f>
        <v>-670.26019743127517</v>
      </c>
      <c r="P20" s="38"/>
    </row>
    <row r="21" spans="2:16" ht="12.6" customHeight="1" x14ac:dyDescent="0.3">
      <c r="B21" s="69"/>
      <c r="C21" s="33"/>
      <c r="D21" s="71"/>
      <c r="F21" s="37"/>
      <c r="G21" s="37"/>
      <c r="H21" s="37"/>
      <c r="I21" s="37"/>
      <c r="J21" s="37"/>
      <c r="K21" s="37"/>
      <c r="L21" s="37"/>
      <c r="M21" s="37"/>
      <c r="N21" s="37"/>
      <c r="O21" s="37"/>
    </row>
    <row r="22" spans="2:16" x14ac:dyDescent="0.3">
      <c r="B22" s="15">
        <v>2.4</v>
      </c>
      <c r="C22" s="33"/>
      <c r="D22" s="70" t="s">
        <v>502</v>
      </c>
      <c r="F22" s="38">
        <f>-BS!F29</f>
        <v>0</v>
      </c>
      <c r="G22" s="38">
        <f>-BS!F29+BS!G29</f>
        <v>131.47554356791915</v>
      </c>
      <c r="H22" s="38">
        <f>-BS!G29+BS!H29</f>
        <v>286.02343615591656</v>
      </c>
      <c r="I22" s="38">
        <f>-BS!H29+BS!I29</f>
        <v>425.31533958631229</v>
      </c>
      <c r="J22" s="38">
        <f>-BS!I29+BS!J29</f>
        <v>-113.90570685919261</v>
      </c>
      <c r="K22" s="38">
        <f>-BS!J29+BS!K29</f>
        <v>297.48513743819717</v>
      </c>
      <c r="L22" s="38">
        <f>-BS!K29+BS!L29</f>
        <v>291.11604818954265</v>
      </c>
      <c r="M22" s="38">
        <f>-BS!L29+BS!M29</f>
        <v>355.28454267912434</v>
      </c>
      <c r="N22" s="38">
        <f>-BS!M29+BS!N29</f>
        <v>415.24267780710989</v>
      </c>
      <c r="O22" s="38">
        <f>-BS!N29+BS!O29</f>
        <v>486.46069171092631</v>
      </c>
    </row>
    <row r="23" spans="2:16" x14ac:dyDescent="0.3">
      <c r="B23" s="69"/>
      <c r="C23" s="33"/>
      <c r="D23" s="71"/>
      <c r="F23" s="37"/>
      <c r="G23" s="37"/>
      <c r="H23" s="37"/>
      <c r="I23" s="37"/>
      <c r="J23" s="37"/>
      <c r="K23" s="37"/>
      <c r="L23" s="37"/>
      <c r="M23" s="37"/>
      <c r="N23" s="37"/>
      <c r="O23" s="37"/>
    </row>
    <row r="24" spans="2:16" ht="18" customHeight="1" x14ac:dyDescent="0.3">
      <c r="B24" s="17"/>
      <c r="C24" s="17"/>
      <c r="D24" s="34" t="s">
        <v>305</v>
      </c>
      <c r="E24" s="33"/>
      <c r="F24" s="35">
        <f>SUM(F12:F22)</f>
        <v>116.49247623698632</v>
      </c>
      <c r="G24" s="35">
        <f t="shared" ref="G24:O24" si="1">SUM(G12:G22)</f>
        <v>448.22136986301359</v>
      </c>
      <c r="H24" s="35">
        <f t="shared" si="1"/>
        <v>859.56500437728607</v>
      </c>
      <c r="I24" s="35">
        <f t="shared" si="1"/>
        <v>1218.8140175364385</v>
      </c>
      <c r="J24" s="35">
        <f t="shared" si="1"/>
        <v>1612.4048650734151</v>
      </c>
      <c r="K24" s="35">
        <f t="shared" si="1"/>
        <v>2584.1062213435653</v>
      </c>
      <c r="L24" s="35">
        <f t="shared" si="1"/>
        <v>3203.7982445978346</v>
      </c>
      <c r="M24" s="35">
        <f t="shared" si="1"/>
        <v>4016.0219035710006</v>
      </c>
      <c r="N24" s="35">
        <f t="shared" si="1"/>
        <v>4963.8494573734351</v>
      </c>
      <c r="O24" s="35">
        <f t="shared" si="1"/>
        <v>6075.2987469342133</v>
      </c>
    </row>
    <row r="25" spans="2:16" ht="4.95" customHeight="1" x14ac:dyDescent="0.3">
      <c r="F25" s="37"/>
      <c r="G25" s="37"/>
      <c r="H25" s="37"/>
      <c r="I25" s="37"/>
      <c r="J25" s="37"/>
      <c r="K25" s="37"/>
      <c r="L25" s="37"/>
      <c r="M25" s="37"/>
      <c r="N25" s="37"/>
      <c r="O25" s="37"/>
    </row>
    <row r="26" spans="2:16" x14ac:dyDescent="0.3">
      <c r="F26" s="37"/>
      <c r="G26" s="37"/>
      <c r="H26" s="37"/>
      <c r="I26" s="37"/>
      <c r="J26" s="37"/>
      <c r="K26" s="37"/>
      <c r="L26" s="37"/>
      <c r="M26" s="37"/>
      <c r="N26" s="37"/>
      <c r="O26" s="37"/>
    </row>
    <row r="27" spans="2:16" ht="4.95" customHeight="1" x14ac:dyDescent="0.3">
      <c r="F27" s="37"/>
      <c r="G27" s="37"/>
      <c r="H27" s="37"/>
      <c r="I27" s="37"/>
      <c r="J27" s="37"/>
      <c r="K27" s="37"/>
      <c r="L27" s="37"/>
      <c r="M27" s="37"/>
      <c r="N27" s="37"/>
      <c r="O27" s="37"/>
    </row>
    <row r="28" spans="2:16" ht="15.6" x14ac:dyDescent="0.3">
      <c r="B28" s="443" t="s">
        <v>68</v>
      </c>
      <c r="C28" s="443"/>
      <c r="D28" s="443"/>
      <c r="F28" s="37"/>
      <c r="G28" s="37"/>
      <c r="H28" s="37"/>
      <c r="I28" s="37"/>
      <c r="J28" s="37"/>
      <c r="K28" s="37"/>
      <c r="L28" s="37"/>
      <c r="M28" s="37"/>
      <c r="N28" s="37"/>
      <c r="O28" s="37"/>
    </row>
    <row r="29" spans="2:16" ht="4.95" customHeight="1" x14ac:dyDescent="0.3">
      <c r="F29" s="37"/>
      <c r="G29" s="37"/>
      <c r="H29" s="37"/>
      <c r="I29" s="37"/>
      <c r="J29" s="37"/>
      <c r="K29" s="37"/>
      <c r="L29" s="37"/>
      <c r="M29" s="37"/>
      <c r="N29" s="37"/>
      <c r="O29" s="37"/>
    </row>
    <row r="30" spans="2:16" x14ac:dyDescent="0.3">
      <c r="B30" s="15">
        <v>3</v>
      </c>
      <c r="C30" s="33"/>
      <c r="D30" s="17" t="s">
        <v>69</v>
      </c>
      <c r="F30" s="38">
        <f>Config!C15</f>
        <v>300</v>
      </c>
      <c r="G30" s="38"/>
      <c r="H30" s="38"/>
      <c r="I30" s="38"/>
      <c r="J30" s="38"/>
      <c r="K30" s="38"/>
      <c r="L30" s="38"/>
      <c r="M30" s="38"/>
      <c r="N30" s="38"/>
      <c r="O30" s="38"/>
    </row>
    <row r="31" spans="2:16" ht="4.95" customHeight="1" x14ac:dyDescent="0.3">
      <c r="B31" s="69"/>
      <c r="C31" s="33"/>
      <c r="D31" s="33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2:16" x14ac:dyDescent="0.3">
      <c r="B32" s="15">
        <v>4</v>
      </c>
      <c r="C32" s="33"/>
      <c r="D32" s="17" t="s">
        <v>70</v>
      </c>
      <c r="F32" s="38">
        <f>'Debt Schedule'!C73</f>
        <v>2774.16</v>
      </c>
      <c r="G32" s="38">
        <f>'Debt Schedule'!D73</f>
        <v>0</v>
      </c>
      <c r="H32" s="38">
        <f>'Debt Schedule'!E73</f>
        <v>0</v>
      </c>
      <c r="I32" s="38">
        <f>'Debt Schedule'!F73</f>
        <v>0</v>
      </c>
      <c r="J32" s="38">
        <f>'Debt Schedule'!G73</f>
        <v>0</v>
      </c>
      <c r="K32" s="38">
        <f>'Debt Schedule'!H73</f>
        <v>0</v>
      </c>
      <c r="L32" s="38">
        <f>'Debt Schedule'!I73</f>
        <v>0</v>
      </c>
      <c r="M32" s="38">
        <f>'Debt Schedule'!J73</f>
        <v>0</v>
      </c>
      <c r="N32" s="38">
        <f>'Debt Schedule'!K73</f>
        <v>0</v>
      </c>
      <c r="O32" s="38">
        <f>'Debt Schedule'!L73</f>
        <v>0</v>
      </c>
    </row>
    <row r="33" spans="2:15" ht="4.95" customHeight="1" x14ac:dyDescent="0.3">
      <c r="B33" s="69"/>
      <c r="C33" s="33"/>
      <c r="D33" s="33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2:15" x14ac:dyDescent="0.3">
      <c r="B34" s="15">
        <v>5</v>
      </c>
      <c r="C34" s="33"/>
      <c r="D34" s="17" t="s">
        <v>71</v>
      </c>
      <c r="F34" s="38">
        <f>-('Debt Schedule'!C65)</f>
        <v>-230.34334820203043</v>
      </c>
      <c r="G34" s="38">
        <f>-('Debt Schedule'!D65)</f>
        <v>-246.98708575440421</v>
      </c>
      <c r="H34" s="38">
        <f>-('Debt Schedule'!E65)</f>
        <v>-264.95087652235321</v>
      </c>
      <c r="I34" s="38">
        <f>-('Debt Schedule'!F65)</f>
        <v>-284.35160297347289</v>
      </c>
      <c r="J34" s="38">
        <f>-('Debt Schedule'!G65)</f>
        <v>-305.31765380365187</v>
      </c>
      <c r="K34" s="38">
        <f>-('Debt Schedule'!H65)</f>
        <v>-326.03573905680804</v>
      </c>
      <c r="L34" s="38">
        <f>-('Debt Schedule'!I65)</f>
        <v>-284.76501410913562</v>
      </c>
      <c r="M34" s="38">
        <f>-('Debt Schedule'!J65)</f>
        <v>-302.98636750515982</v>
      </c>
      <c r="N34" s="38">
        <f>-('Debt Schedule'!K65)</f>
        <v>-322.40044079597305</v>
      </c>
      <c r="O34" s="38">
        <f>-('Debt Schedule'!L65)</f>
        <v>-343.08800957701021</v>
      </c>
    </row>
    <row r="35" spans="2:15" ht="4.95" customHeight="1" x14ac:dyDescent="0.3">
      <c r="B35" s="69"/>
      <c r="C35" s="33"/>
      <c r="D35" s="33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2:15" x14ac:dyDescent="0.3">
      <c r="B36" s="15">
        <v>6</v>
      </c>
      <c r="C36" s="33"/>
      <c r="D36" s="17" t="s">
        <v>72</v>
      </c>
      <c r="F36" s="38">
        <f>-F18</f>
        <v>-179.66495140251976</v>
      </c>
      <c r="G36" s="38">
        <f t="shared" ref="G36:O36" si="2">-G18</f>
        <v>-173.6752757722104</v>
      </c>
      <c r="H36" s="38">
        <f t="shared" si="2"/>
        <v>-167.01762314594339</v>
      </c>
      <c r="I36" s="38">
        <f t="shared" si="2"/>
        <v>-159.61465918129514</v>
      </c>
      <c r="J36" s="38">
        <f t="shared" si="2"/>
        <v>-151.37989135057518</v>
      </c>
      <c r="K36" s="38">
        <f t="shared" si="2"/>
        <v>-142.3114352230298</v>
      </c>
      <c r="L36" s="38">
        <f t="shared" si="2"/>
        <v>-135.77613742875874</v>
      </c>
      <c r="M36" s="38">
        <f t="shared" si="2"/>
        <v>-132.76350374239027</v>
      </c>
      <c r="N36" s="38">
        <f t="shared" si="2"/>
        <v>-129.48547027967638</v>
      </c>
      <c r="O36" s="38">
        <f t="shared" si="2"/>
        <v>-125.91700419276026</v>
      </c>
    </row>
    <row r="37" spans="2:15" x14ac:dyDescent="0.3">
      <c r="B37" s="33"/>
      <c r="C37" s="33"/>
      <c r="D37" s="33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2:15" ht="18" customHeight="1" x14ac:dyDescent="0.3">
      <c r="B38" s="17"/>
      <c r="C38" s="17"/>
      <c r="D38" s="34" t="s">
        <v>306</v>
      </c>
      <c r="E38" s="33"/>
      <c r="F38" s="35">
        <f t="shared" ref="F38:O38" si="3">SUM(F30:F36)</f>
        <v>2664.1517003954496</v>
      </c>
      <c r="G38" s="35">
        <f t="shared" si="3"/>
        <v>-420.66236152661463</v>
      </c>
      <c r="H38" s="35">
        <f t="shared" si="3"/>
        <v>-431.9684996682966</v>
      </c>
      <c r="I38" s="35">
        <f t="shared" si="3"/>
        <v>-443.96626215476806</v>
      </c>
      <c r="J38" s="35">
        <f t="shared" si="3"/>
        <v>-456.69754515422704</v>
      </c>
      <c r="K38" s="35">
        <f t="shared" si="3"/>
        <v>-468.34717427983787</v>
      </c>
      <c r="L38" s="35">
        <f t="shared" si="3"/>
        <v>-420.54115153789439</v>
      </c>
      <c r="M38" s="35">
        <f t="shared" si="3"/>
        <v>-435.74987124755012</v>
      </c>
      <c r="N38" s="35">
        <f t="shared" si="3"/>
        <v>-451.88591107564946</v>
      </c>
      <c r="O38" s="35">
        <f t="shared" si="3"/>
        <v>-469.00501376977047</v>
      </c>
    </row>
    <row r="39" spans="2:15" ht="4.95" customHeight="1" x14ac:dyDescent="0.3"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2:15" x14ac:dyDescent="0.3"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spans="2:15" ht="4.95" customHeight="1" x14ac:dyDescent="0.3"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2:15" ht="15.6" x14ac:dyDescent="0.3">
      <c r="B42" s="443" t="s">
        <v>73</v>
      </c>
      <c r="C42" s="443"/>
      <c r="D42" s="443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spans="2:15" ht="4.95" customHeight="1" x14ac:dyDescent="0.3"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2:15" x14ac:dyDescent="0.3">
      <c r="B44" s="15">
        <v>7</v>
      </c>
      <c r="C44" s="33"/>
      <c r="D44" s="17" t="s">
        <v>74</v>
      </c>
      <c r="F44" s="38">
        <f>-DAS!F83</f>
        <v>-43</v>
      </c>
      <c r="G44" s="38">
        <f>-DAS!H83</f>
        <v>-64</v>
      </c>
      <c r="H44" s="38">
        <f>-DAS!J83</f>
        <v>-75</v>
      </c>
      <c r="I44" s="38">
        <f>-DAS!L83</f>
        <v>-97</v>
      </c>
      <c r="J44" s="38">
        <f>-DAS!N83</f>
        <v>-103.00000000000001</v>
      </c>
      <c r="K44" s="38">
        <f>-DAS!P83</f>
        <v>-103.00000000000001</v>
      </c>
      <c r="L44" s="38">
        <f>-DAS!R83</f>
        <v>-140</v>
      </c>
      <c r="M44" s="38">
        <f>-DAS!T83</f>
        <v>-140</v>
      </c>
      <c r="N44" s="38">
        <f>-DAS!V83</f>
        <v>-165</v>
      </c>
      <c r="O44" s="38">
        <f>-DAS!X83</f>
        <v>-220</v>
      </c>
    </row>
    <row r="45" spans="2:15" ht="4.95" customHeight="1" x14ac:dyDescent="0.3">
      <c r="B45" s="69"/>
      <c r="C45" s="33"/>
      <c r="D45" s="33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2:15" x14ac:dyDescent="0.3">
      <c r="B46" s="15">
        <v>8</v>
      </c>
      <c r="C46" s="33"/>
      <c r="D46" s="17" t="s">
        <v>75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</row>
    <row r="47" spans="2:15" ht="4.95" customHeight="1" x14ac:dyDescent="0.3">
      <c r="B47" s="69"/>
      <c r="C47" s="33"/>
      <c r="D47" s="33"/>
      <c r="F47" s="37"/>
      <c r="G47" s="37"/>
      <c r="H47" s="37"/>
      <c r="I47" s="37"/>
      <c r="J47" s="37"/>
      <c r="K47" s="37"/>
      <c r="L47" s="37"/>
      <c r="M47" s="37"/>
      <c r="N47" s="37"/>
      <c r="O47" s="37"/>
    </row>
    <row r="48" spans="2:15" x14ac:dyDescent="0.3">
      <c r="B48" s="15">
        <v>9</v>
      </c>
      <c r="C48" s="33"/>
      <c r="D48" s="17" t="s">
        <v>76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</row>
    <row r="49" spans="1:15" x14ac:dyDescent="0.3">
      <c r="B49" s="33"/>
      <c r="C49" s="33"/>
      <c r="D49" s="33"/>
      <c r="F49" s="37"/>
      <c r="G49" s="37"/>
      <c r="H49" s="37"/>
      <c r="I49" s="37"/>
      <c r="J49" s="37"/>
      <c r="K49" s="37"/>
      <c r="L49" s="37"/>
      <c r="M49" s="37"/>
      <c r="N49" s="37"/>
      <c r="O49" s="37"/>
    </row>
    <row r="50" spans="1:15" ht="18" customHeight="1" x14ac:dyDescent="0.3">
      <c r="B50" s="17"/>
      <c r="C50" s="17"/>
      <c r="D50" s="34" t="s">
        <v>307</v>
      </c>
      <c r="E50" s="33"/>
      <c r="F50" s="35">
        <f t="shared" ref="F50:O50" si="4">SUM(F44:F48)</f>
        <v>-43</v>
      </c>
      <c r="G50" s="35">
        <f t="shared" si="4"/>
        <v>-64</v>
      </c>
      <c r="H50" s="35">
        <f t="shared" si="4"/>
        <v>-75</v>
      </c>
      <c r="I50" s="35">
        <f t="shared" si="4"/>
        <v>-97</v>
      </c>
      <c r="J50" s="35">
        <f t="shared" si="4"/>
        <v>-103.00000000000001</v>
      </c>
      <c r="K50" s="35">
        <f t="shared" si="4"/>
        <v>-103.00000000000001</v>
      </c>
      <c r="L50" s="35">
        <f t="shared" si="4"/>
        <v>-140</v>
      </c>
      <c r="M50" s="35">
        <f t="shared" si="4"/>
        <v>-140</v>
      </c>
      <c r="N50" s="35">
        <f t="shared" si="4"/>
        <v>-165</v>
      </c>
      <c r="O50" s="35">
        <f t="shared" si="4"/>
        <v>-220</v>
      </c>
    </row>
    <row r="51" spans="1:15" ht="4.95" customHeight="1" x14ac:dyDescent="0.3">
      <c r="B51" s="33"/>
      <c r="C51" s="33"/>
      <c r="D51" s="33"/>
      <c r="F51" s="37"/>
      <c r="G51" s="37"/>
      <c r="H51" s="37"/>
      <c r="I51" s="37"/>
      <c r="J51" s="37"/>
      <c r="K51" s="37"/>
      <c r="L51" s="37"/>
      <c r="M51" s="37"/>
      <c r="N51" s="37"/>
      <c r="O51" s="37"/>
    </row>
    <row r="52" spans="1:15" x14ac:dyDescent="0.3">
      <c r="B52" s="33"/>
      <c r="C52" s="33"/>
      <c r="D52" s="33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1:15" ht="4.95" customHeight="1" x14ac:dyDescent="0.3">
      <c r="B53" s="33"/>
      <c r="C53" s="33"/>
      <c r="D53" s="33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spans="1:15" s="49" customFormat="1" ht="18" customHeight="1" x14ac:dyDescent="0.3">
      <c r="A54" s="6"/>
      <c r="B54" s="34"/>
      <c r="C54" s="34"/>
      <c r="D54" s="34" t="s">
        <v>77</v>
      </c>
      <c r="E54" s="48"/>
      <c r="F54" s="50">
        <f t="shared" ref="F54:O54" si="5">F24+F38+F50</f>
        <v>2737.644176632436</v>
      </c>
      <c r="G54" s="50">
        <f t="shared" si="5"/>
        <v>-36.440991663601039</v>
      </c>
      <c r="H54" s="50">
        <f t="shared" si="5"/>
        <v>352.59650470898947</v>
      </c>
      <c r="I54" s="50">
        <f t="shared" si="5"/>
        <v>677.84775538167048</v>
      </c>
      <c r="J54" s="50">
        <f t="shared" si="5"/>
        <v>1052.707319919188</v>
      </c>
      <c r="K54" s="50">
        <f t="shared" si="5"/>
        <v>2012.7590470637274</v>
      </c>
      <c r="L54" s="50">
        <f t="shared" si="5"/>
        <v>2643.2570930599404</v>
      </c>
      <c r="M54" s="50">
        <f t="shared" si="5"/>
        <v>3440.2720323234507</v>
      </c>
      <c r="N54" s="50">
        <f t="shared" si="5"/>
        <v>4346.9635462977858</v>
      </c>
      <c r="O54" s="50">
        <f t="shared" si="5"/>
        <v>5386.2937331644425</v>
      </c>
    </row>
    <row r="55" spans="1:15" x14ac:dyDescent="0.3">
      <c r="B55" s="33"/>
      <c r="C55" s="33"/>
      <c r="D55" s="33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spans="1:15" s="49" customFormat="1" ht="18" customHeight="1" x14ac:dyDescent="0.3">
      <c r="A56" s="6"/>
      <c r="B56" s="34"/>
      <c r="C56" s="34"/>
      <c r="D56" s="34" t="s">
        <v>78</v>
      </c>
      <c r="E56" s="48"/>
      <c r="F56" s="50">
        <f>Config!C8</f>
        <v>0.36969790000000002</v>
      </c>
      <c r="G56" s="50">
        <f t="shared" ref="G56:O56" si="6">F58</f>
        <v>2738.0138745324361</v>
      </c>
      <c r="H56" s="50">
        <f t="shared" si="6"/>
        <v>2701.5728828688352</v>
      </c>
      <c r="I56" s="50">
        <f t="shared" si="6"/>
        <v>3054.1693875778246</v>
      </c>
      <c r="J56" s="50">
        <f t="shared" si="6"/>
        <v>3732.0171429594952</v>
      </c>
      <c r="K56" s="50">
        <f t="shared" si="6"/>
        <v>4784.724462878683</v>
      </c>
      <c r="L56" s="50">
        <f t="shared" si="6"/>
        <v>6797.4835099424108</v>
      </c>
      <c r="M56" s="50">
        <f t="shared" si="6"/>
        <v>9440.7406030023521</v>
      </c>
      <c r="N56" s="50">
        <f t="shared" si="6"/>
        <v>12881.012635325802</v>
      </c>
      <c r="O56" s="50">
        <f t="shared" si="6"/>
        <v>17227.976181623588</v>
      </c>
    </row>
    <row r="57" spans="1:15" x14ac:dyDescent="0.3">
      <c r="B57" s="33"/>
      <c r="C57" s="33"/>
      <c r="D57" s="33"/>
      <c r="F57" s="37"/>
      <c r="G57" s="37"/>
      <c r="H57" s="37"/>
      <c r="I57" s="37"/>
      <c r="J57" s="37"/>
      <c r="K57" s="37"/>
      <c r="L57" s="37"/>
      <c r="M57" s="37"/>
      <c r="N57" s="37"/>
      <c r="O57" s="37"/>
    </row>
    <row r="58" spans="1:15" s="49" customFormat="1" ht="18" customHeight="1" x14ac:dyDescent="0.3">
      <c r="A58" s="6"/>
      <c r="B58" s="34"/>
      <c r="C58" s="34"/>
      <c r="D58" s="34" t="s">
        <v>79</v>
      </c>
      <c r="E58" s="48"/>
      <c r="F58" s="50">
        <f t="shared" ref="F58:O58" si="7">F56+F54</f>
        <v>2738.0138745324361</v>
      </c>
      <c r="G58" s="50">
        <f t="shared" si="7"/>
        <v>2701.5728828688352</v>
      </c>
      <c r="H58" s="50">
        <f t="shared" si="7"/>
        <v>3054.1693875778246</v>
      </c>
      <c r="I58" s="50">
        <f t="shared" si="7"/>
        <v>3732.0171429594952</v>
      </c>
      <c r="J58" s="50">
        <f t="shared" si="7"/>
        <v>4784.724462878683</v>
      </c>
      <c r="K58" s="50">
        <f t="shared" si="7"/>
        <v>6797.4835099424108</v>
      </c>
      <c r="L58" s="50">
        <f t="shared" si="7"/>
        <v>9440.7406030023521</v>
      </c>
      <c r="M58" s="50">
        <f t="shared" si="7"/>
        <v>12881.012635325802</v>
      </c>
      <c r="N58" s="50">
        <f t="shared" si="7"/>
        <v>17227.976181623588</v>
      </c>
      <c r="O58" s="50">
        <f t="shared" si="7"/>
        <v>22614.26991478803</v>
      </c>
    </row>
    <row r="59" spans="1:15" ht="4.95" customHeight="1" x14ac:dyDescent="0.2">
      <c r="B59" s="33"/>
      <c r="C59" s="33"/>
      <c r="D59" s="33"/>
    </row>
    <row r="60" spans="1:15" ht="13.2" x14ac:dyDescent="0.2">
      <c r="O60" s="72"/>
    </row>
    <row r="61" spans="1:15" ht="4.95" customHeight="1" x14ac:dyDescent="0.2"/>
    <row r="63" spans="1:15" ht="4.95" customHeight="1" x14ac:dyDescent="0.2"/>
    <row r="64" spans="1:15" ht="4.95" customHeight="1" x14ac:dyDescent="0.2"/>
    <row r="66" ht="4.95" customHeight="1" x14ac:dyDescent="0.2"/>
    <row r="68" ht="4.95" customHeight="1" x14ac:dyDescent="0.2"/>
    <row r="70" ht="4.95" customHeight="1" x14ac:dyDescent="0.2"/>
    <row r="72" ht="4.95" customHeight="1" x14ac:dyDescent="0.2"/>
    <row r="74" ht="4.95" customHeight="1" x14ac:dyDescent="0.2"/>
    <row r="76" ht="4.95" customHeight="1" x14ac:dyDescent="0.2"/>
    <row r="78" ht="4.95" customHeight="1" x14ac:dyDescent="0.2"/>
    <row r="80" ht="4.95" customHeight="1" x14ac:dyDescent="0.2"/>
    <row r="82" ht="4.95" customHeight="1" x14ac:dyDescent="0.2"/>
    <row r="84" ht="4.95" customHeight="1" x14ac:dyDescent="0.2"/>
    <row r="86" ht="4.95" customHeight="1" x14ac:dyDescent="0.2"/>
    <row r="88" ht="4.95" customHeight="1" x14ac:dyDescent="0.2"/>
    <row r="90" ht="4.95" customHeight="1" x14ac:dyDescent="0.2"/>
    <row r="92" ht="4.95" customHeight="1" x14ac:dyDescent="0.2"/>
    <row r="94" ht="4.95" customHeight="1" x14ac:dyDescent="0.2"/>
    <row r="96" ht="4.95" customHeight="1" x14ac:dyDescent="0.2"/>
    <row r="98" ht="4.95" customHeight="1" x14ac:dyDescent="0.2"/>
    <row r="100" ht="4.95" customHeight="1" x14ac:dyDescent="0.2"/>
    <row r="102" ht="4.95" customHeight="1" x14ac:dyDescent="0.2"/>
    <row r="104" ht="4.95" customHeight="1" x14ac:dyDescent="0.2"/>
    <row r="106" ht="4.95" customHeight="1" x14ac:dyDescent="0.2"/>
    <row r="108" ht="4.95" customHeight="1" x14ac:dyDescent="0.2"/>
    <row r="110" ht="4.95" customHeight="1" x14ac:dyDescent="0.2"/>
    <row r="112" ht="4.95" customHeight="1" x14ac:dyDescent="0.2"/>
    <row r="114" ht="4.95" customHeight="1" x14ac:dyDescent="0.2"/>
    <row r="116" ht="4.95" customHeight="1" x14ac:dyDescent="0.2"/>
    <row r="118" ht="4.95" customHeight="1" x14ac:dyDescent="0.2"/>
    <row r="120" ht="4.95" customHeight="1" x14ac:dyDescent="0.2"/>
    <row r="122" ht="4.95" customHeight="1" x14ac:dyDescent="0.2"/>
    <row r="124" ht="4.95" customHeight="1" x14ac:dyDescent="0.2"/>
    <row r="126" ht="4.95" customHeight="1" x14ac:dyDescent="0.2"/>
    <row r="128" ht="4.95" customHeight="1" x14ac:dyDescent="0.2"/>
    <row r="130" ht="4.95" customHeight="1" x14ac:dyDescent="0.2"/>
    <row r="132" ht="4.95" customHeight="1" x14ac:dyDescent="0.2"/>
    <row r="134" ht="4.95" customHeight="1" x14ac:dyDescent="0.2"/>
    <row r="136" ht="4.95" customHeight="1" x14ac:dyDescent="0.2"/>
    <row r="138" ht="4.95" customHeight="1" x14ac:dyDescent="0.2"/>
    <row r="140" ht="4.95" customHeight="1" x14ac:dyDescent="0.2"/>
    <row r="142" ht="4.95" customHeight="1" x14ac:dyDescent="0.2"/>
    <row r="144" ht="4.95" customHeight="1" x14ac:dyDescent="0.2"/>
    <row r="146" ht="4.95" customHeight="1" x14ac:dyDescent="0.2"/>
    <row r="148" ht="4.95" customHeight="1" x14ac:dyDescent="0.2"/>
    <row r="150" ht="4.95" customHeight="1" x14ac:dyDescent="0.2"/>
    <row r="152" ht="4.95" customHeight="1" x14ac:dyDescent="0.2"/>
    <row r="154" ht="4.95" customHeight="1" x14ac:dyDescent="0.2"/>
    <row r="156" ht="4.95" customHeight="1" x14ac:dyDescent="0.2"/>
  </sheetData>
  <mergeCells count="3">
    <mergeCell ref="B10:D10"/>
    <mergeCell ref="B28:D28"/>
    <mergeCell ref="B42:D42"/>
  </mergeCells>
  <pageMargins left="0.70866141732283505" right="0.70866141732283505" top="0.74803149606299202" bottom="0.74803149606299202" header="0.31496062992126" footer="0.31496062992126"/>
  <pageSetup paperSize="9" scale="80" orientation="landscape" errors="blank" r:id="rId1"/>
  <headerFooter>
    <oddFooter>&amp;C&amp;"Ubuntu,Regular"&amp;K346D9CPage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E24C-1F84-45A3-B403-A80B9C19F9BB}">
  <dimension ref="A1:AD1003"/>
  <sheetViews>
    <sheetView showGridLines="0" topLeftCell="A56" workbookViewId="0">
      <selection activeCell="E81" sqref="E81"/>
    </sheetView>
  </sheetViews>
  <sheetFormatPr defaultColWidth="14.44140625" defaultRowHeight="15" customHeight="1" x14ac:dyDescent="0.3"/>
  <cols>
    <col min="1" max="1" width="5.109375" customWidth="1"/>
    <col min="2" max="2" width="21.109375" customWidth="1"/>
    <col min="3" max="3" width="17.44140625" customWidth="1"/>
    <col min="4" max="4" width="12.88671875" customWidth="1"/>
    <col min="5" max="5" width="14.109375" customWidth="1"/>
    <col min="6" max="6" width="10.44140625" customWidth="1"/>
    <col min="7" max="7" width="14.77734375" customWidth="1"/>
    <col min="8" max="8" width="10.44140625" customWidth="1"/>
    <col min="9" max="9" width="5.44140625" customWidth="1"/>
    <col min="10" max="10" width="6.77734375" customWidth="1"/>
    <col min="11" max="11" width="7.5546875" customWidth="1"/>
    <col min="12" max="12" width="15.77734375" customWidth="1"/>
    <col min="13" max="13" width="9.44140625" customWidth="1"/>
    <col min="14" max="14" width="16.44140625" customWidth="1"/>
    <col min="15" max="15" width="7.5546875" customWidth="1"/>
    <col min="16" max="18" width="10" customWidth="1"/>
    <col min="19" max="19" width="7.5546875" customWidth="1"/>
    <col min="20" max="22" width="9.44140625" customWidth="1"/>
    <col min="23" max="23" width="7.5546875" customWidth="1"/>
    <col min="24" max="26" width="9" customWidth="1"/>
    <col min="27" max="27" width="7.5546875" customWidth="1"/>
    <col min="28" max="30" width="9.21875" customWidth="1"/>
  </cols>
  <sheetData>
    <row r="1" spans="1:30" ht="14.25" customHeight="1" x14ac:dyDescent="0.3">
      <c r="A1" s="293"/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</row>
    <row r="2" spans="1:30" ht="14.25" customHeight="1" x14ac:dyDescent="0.3">
      <c r="A2" s="293"/>
      <c r="B2" s="448" t="s">
        <v>339</v>
      </c>
      <c r="C2" s="448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</row>
    <row r="3" spans="1:30" ht="14.25" customHeight="1" x14ac:dyDescent="0.3">
      <c r="A3" s="293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</row>
    <row r="4" spans="1:30" ht="14.25" customHeight="1" thickBot="1" x14ac:dyDescent="0.35">
      <c r="A4" s="293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</row>
    <row r="5" spans="1:30" ht="14.25" customHeight="1" thickBot="1" x14ac:dyDescent="0.35">
      <c r="A5" s="294"/>
      <c r="B5" s="449" t="s">
        <v>340</v>
      </c>
      <c r="C5" s="450"/>
      <c r="D5" s="450"/>
      <c r="E5" s="450"/>
      <c r="F5" s="450"/>
      <c r="G5" s="450"/>
      <c r="H5" s="451"/>
      <c r="I5" s="294"/>
      <c r="J5" s="452" t="s">
        <v>341</v>
      </c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4"/>
    </row>
    <row r="6" spans="1:30" ht="14.25" customHeight="1" thickBot="1" x14ac:dyDescent="0.35">
      <c r="A6" s="295"/>
      <c r="B6" s="296" t="s">
        <v>342</v>
      </c>
      <c r="C6" s="297" t="s">
        <v>343</v>
      </c>
      <c r="D6" s="297" t="s">
        <v>4</v>
      </c>
      <c r="E6" s="297" t="s">
        <v>344</v>
      </c>
      <c r="F6" s="297" t="s">
        <v>345</v>
      </c>
      <c r="G6" s="297" t="s">
        <v>346</v>
      </c>
      <c r="H6" s="298" t="s">
        <v>347</v>
      </c>
      <c r="I6" s="295"/>
      <c r="J6" s="299" t="s">
        <v>342</v>
      </c>
      <c r="K6" s="300" t="s">
        <v>343</v>
      </c>
      <c r="L6" s="301" t="s">
        <v>348</v>
      </c>
      <c r="M6" s="301" t="s">
        <v>349</v>
      </c>
      <c r="N6" s="301" t="s">
        <v>267</v>
      </c>
      <c r="O6" s="301" t="s">
        <v>350</v>
      </c>
      <c r="P6" s="302" t="s">
        <v>351</v>
      </c>
      <c r="Q6" s="302" t="s">
        <v>349</v>
      </c>
      <c r="R6" s="302" t="s">
        <v>267</v>
      </c>
      <c r="S6" s="302" t="s">
        <v>350</v>
      </c>
      <c r="T6" s="303" t="s">
        <v>352</v>
      </c>
      <c r="U6" s="303" t="s">
        <v>349</v>
      </c>
      <c r="V6" s="303" t="s">
        <v>267</v>
      </c>
      <c r="W6" s="303" t="s">
        <v>350</v>
      </c>
      <c r="X6" s="304" t="s">
        <v>353</v>
      </c>
      <c r="Y6" s="304" t="s">
        <v>349</v>
      </c>
      <c r="Z6" s="304" t="s">
        <v>267</v>
      </c>
      <c r="AA6" s="304" t="s">
        <v>350</v>
      </c>
      <c r="AB6" s="305" t="s">
        <v>347</v>
      </c>
      <c r="AC6" s="305" t="s">
        <v>134</v>
      </c>
      <c r="AD6" s="306" t="s">
        <v>354</v>
      </c>
    </row>
    <row r="7" spans="1:30" ht="14.25" customHeight="1" x14ac:dyDescent="0.3">
      <c r="A7" s="293"/>
      <c r="B7" s="307">
        <v>1</v>
      </c>
      <c r="C7" s="308">
        <v>2025</v>
      </c>
      <c r="D7" s="309">
        <f>'Revenue generation breakup'!I23</f>
        <v>135</v>
      </c>
      <c r="E7" s="309">
        <f>'Revenue generation breakup'!F50</f>
        <v>270</v>
      </c>
      <c r="F7" s="309">
        <f>'Revenue generation breakup'!E65</f>
        <v>75</v>
      </c>
      <c r="G7" s="309">
        <f>'Revenue generation breakup'!E81</f>
        <v>150</v>
      </c>
      <c r="H7" s="310">
        <f t="shared" ref="H7:H16" si="0">SUM(D7:G7)</f>
        <v>630</v>
      </c>
      <c r="I7" s="293"/>
      <c r="J7" s="311">
        <v>1</v>
      </c>
      <c r="K7" s="312">
        <v>2025</v>
      </c>
      <c r="L7" s="313">
        <f>D7</f>
        <v>135</v>
      </c>
      <c r="M7" s="313">
        <f>L7*0.75</f>
        <v>101.25</v>
      </c>
      <c r="N7" s="313">
        <f>L7-M7</f>
        <v>33.75</v>
      </c>
      <c r="O7" s="314">
        <f t="shared" ref="O7:O16" si="1">(L7-M7)/L7</f>
        <v>0.25</v>
      </c>
      <c r="P7" s="313">
        <f>E7</f>
        <v>270</v>
      </c>
      <c r="Q7" s="313">
        <f t="shared" ref="Q7:Q16" si="2">P7*60%</f>
        <v>162</v>
      </c>
      <c r="R7" s="313">
        <f t="shared" ref="R7:R16" si="3">P7-Q7</f>
        <v>108</v>
      </c>
      <c r="S7" s="314">
        <f t="shared" ref="S7:S16" si="4">(P7-Q7)/P7</f>
        <v>0.4</v>
      </c>
      <c r="T7" s="313">
        <f>F7</f>
        <v>75</v>
      </c>
      <c r="U7" s="313">
        <f t="shared" ref="U7:U16" si="5">T7*78%</f>
        <v>58.5</v>
      </c>
      <c r="V7" s="313">
        <f t="shared" ref="V7:V16" si="6">T7-U7</f>
        <v>16.5</v>
      </c>
      <c r="W7" s="314">
        <f t="shared" ref="W7:W16" si="7">(T7-U7)/T7</f>
        <v>0.22</v>
      </c>
      <c r="X7" s="313">
        <f>G7</f>
        <v>150</v>
      </c>
      <c r="Y7" s="313">
        <f t="shared" ref="Y7:Y16" si="8">X7*65%</f>
        <v>97.5</v>
      </c>
      <c r="Z7" s="313">
        <f t="shared" ref="Z7:Z16" si="9">X7-Y7</f>
        <v>52.5</v>
      </c>
      <c r="AA7" s="314">
        <f t="shared" ref="AA7:AA16" si="10">(X7-Y7)/X7</f>
        <v>0.35</v>
      </c>
      <c r="AB7" s="313">
        <f>L7+P7+T7+X7</f>
        <v>630</v>
      </c>
      <c r="AC7" s="313">
        <f>M7+Q7+U7+Y7</f>
        <v>419.25</v>
      </c>
      <c r="AD7" s="315">
        <f>N7+R7+V7+Z7</f>
        <v>210.75</v>
      </c>
    </row>
    <row r="8" spans="1:30" ht="14.25" customHeight="1" x14ac:dyDescent="0.3">
      <c r="A8" s="293"/>
      <c r="B8" s="311">
        <v>2</v>
      </c>
      <c r="C8" s="312">
        <v>2026</v>
      </c>
      <c r="D8" s="309">
        <f>'Revenue generation breakup'!I24</f>
        <v>162</v>
      </c>
      <c r="E8" s="309">
        <f>'Revenue generation breakup'!F51</f>
        <v>792.00000000000011</v>
      </c>
      <c r="F8" s="309">
        <f>'Revenue generation breakup'!E66</f>
        <v>600</v>
      </c>
      <c r="G8" s="309">
        <f>'Revenue generation breakup'!E82</f>
        <v>600</v>
      </c>
      <c r="H8" s="315">
        <f t="shared" si="0"/>
        <v>2154</v>
      </c>
      <c r="I8" s="293"/>
      <c r="J8" s="311">
        <v>2</v>
      </c>
      <c r="K8" s="312">
        <v>2026</v>
      </c>
      <c r="L8" s="313">
        <f t="shared" ref="L8:L15" si="11">D8</f>
        <v>162</v>
      </c>
      <c r="M8" s="313">
        <f t="shared" ref="M8:M16" si="12">L8*0.75</f>
        <v>121.5</v>
      </c>
      <c r="N8" s="313">
        <f t="shared" ref="N8:N16" si="13">L8-M8</f>
        <v>40.5</v>
      </c>
      <c r="O8" s="314">
        <f t="shared" si="1"/>
        <v>0.25</v>
      </c>
      <c r="P8" s="313">
        <f t="shared" ref="P8:P16" si="14">E8</f>
        <v>792.00000000000011</v>
      </c>
      <c r="Q8" s="313">
        <f t="shared" si="2"/>
        <v>475.20000000000005</v>
      </c>
      <c r="R8" s="313">
        <f t="shared" si="3"/>
        <v>316.80000000000007</v>
      </c>
      <c r="S8" s="314">
        <f t="shared" si="4"/>
        <v>0.4</v>
      </c>
      <c r="T8" s="313">
        <f t="shared" ref="T8:T16" si="15">F8</f>
        <v>600</v>
      </c>
      <c r="U8" s="313">
        <f t="shared" si="5"/>
        <v>468</v>
      </c>
      <c r="V8" s="313">
        <f t="shared" si="6"/>
        <v>132</v>
      </c>
      <c r="W8" s="314">
        <f t="shared" si="7"/>
        <v>0.22</v>
      </c>
      <c r="X8" s="313">
        <f t="shared" ref="X8:X16" si="16">G8</f>
        <v>600</v>
      </c>
      <c r="Y8" s="313">
        <f t="shared" si="8"/>
        <v>390</v>
      </c>
      <c r="Z8" s="313">
        <f t="shared" si="9"/>
        <v>210</v>
      </c>
      <c r="AA8" s="314">
        <f t="shared" si="10"/>
        <v>0.35</v>
      </c>
      <c r="AB8" s="313">
        <f t="shared" ref="AB8:AD16" si="17">L8+P8+T8+X8</f>
        <v>2154</v>
      </c>
      <c r="AC8" s="313">
        <f t="shared" si="17"/>
        <v>1454.7</v>
      </c>
      <c r="AD8" s="315">
        <f t="shared" si="17"/>
        <v>699.30000000000007</v>
      </c>
    </row>
    <row r="9" spans="1:30" ht="14.25" customHeight="1" x14ac:dyDescent="0.3">
      <c r="A9" s="293"/>
      <c r="B9" s="311">
        <v>3</v>
      </c>
      <c r="C9" s="312">
        <v>2027</v>
      </c>
      <c r="D9" s="309">
        <f>'Revenue generation breakup'!I25</f>
        <v>202.5</v>
      </c>
      <c r="E9" s="309">
        <f>'Revenue generation breakup'!F52</f>
        <v>1633.5000000000002</v>
      </c>
      <c r="F9" s="309">
        <f>'Revenue generation breakup'!E67</f>
        <v>1200</v>
      </c>
      <c r="G9" s="309">
        <f>'Revenue generation breakup'!E83</f>
        <v>780</v>
      </c>
      <c r="H9" s="315">
        <f t="shared" si="0"/>
        <v>3816</v>
      </c>
      <c r="I9" s="293"/>
      <c r="J9" s="311">
        <v>3</v>
      </c>
      <c r="K9" s="312">
        <v>2027</v>
      </c>
      <c r="L9" s="313">
        <f>D9</f>
        <v>202.5</v>
      </c>
      <c r="M9" s="313">
        <f t="shared" si="12"/>
        <v>151.875</v>
      </c>
      <c r="N9" s="313">
        <f t="shared" si="13"/>
        <v>50.625</v>
      </c>
      <c r="O9" s="314">
        <f t="shared" si="1"/>
        <v>0.25</v>
      </c>
      <c r="P9" s="313">
        <f t="shared" si="14"/>
        <v>1633.5000000000002</v>
      </c>
      <c r="Q9" s="313">
        <f t="shared" si="2"/>
        <v>980.10000000000014</v>
      </c>
      <c r="R9" s="313">
        <f t="shared" si="3"/>
        <v>653.40000000000009</v>
      </c>
      <c r="S9" s="314">
        <f t="shared" si="4"/>
        <v>0.4</v>
      </c>
      <c r="T9" s="313">
        <f t="shared" si="15"/>
        <v>1200</v>
      </c>
      <c r="U9" s="313">
        <f t="shared" si="5"/>
        <v>936</v>
      </c>
      <c r="V9" s="313">
        <f t="shared" si="6"/>
        <v>264</v>
      </c>
      <c r="W9" s="314">
        <f t="shared" si="7"/>
        <v>0.22</v>
      </c>
      <c r="X9" s="313">
        <f t="shared" si="16"/>
        <v>780</v>
      </c>
      <c r="Y9" s="313">
        <f t="shared" si="8"/>
        <v>507</v>
      </c>
      <c r="Z9" s="313">
        <f t="shared" si="9"/>
        <v>273</v>
      </c>
      <c r="AA9" s="314">
        <f t="shared" si="10"/>
        <v>0.35</v>
      </c>
      <c r="AB9" s="313">
        <f t="shared" si="17"/>
        <v>3816</v>
      </c>
      <c r="AC9" s="313">
        <f t="shared" si="17"/>
        <v>2574.9750000000004</v>
      </c>
      <c r="AD9" s="315">
        <f t="shared" si="17"/>
        <v>1241.0250000000001</v>
      </c>
    </row>
    <row r="10" spans="1:30" ht="14.25" customHeight="1" x14ac:dyDescent="0.3">
      <c r="A10" s="293"/>
      <c r="B10" s="311">
        <v>4</v>
      </c>
      <c r="C10" s="312">
        <v>2028</v>
      </c>
      <c r="D10" s="309">
        <f>'Revenue generation breakup'!I26</f>
        <v>253.125</v>
      </c>
      <c r="E10" s="309">
        <f>'Revenue generation breakup'!F53</f>
        <v>2874.9600000000009</v>
      </c>
      <c r="F10" s="309">
        <f>'Revenue generation breakup'!E68</f>
        <v>1800</v>
      </c>
      <c r="G10" s="309">
        <f>'Revenue generation breakup'!E84</f>
        <v>1014</v>
      </c>
      <c r="H10" s="315">
        <f t="shared" si="0"/>
        <v>5942.0850000000009</v>
      </c>
      <c r="I10" s="293"/>
      <c r="J10" s="311">
        <v>4</v>
      </c>
      <c r="K10" s="312">
        <v>2028</v>
      </c>
      <c r="L10" s="313">
        <f t="shared" si="11"/>
        <v>253.125</v>
      </c>
      <c r="M10" s="313">
        <f t="shared" si="12"/>
        <v>189.84375</v>
      </c>
      <c r="N10" s="313">
        <f t="shared" si="13"/>
        <v>63.28125</v>
      </c>
      <c r="O10" s="314">
        <f t="shared" si="1"/>
        <v>0.25</v>
      </c>
      <c r="P10" s="313">
        <f t="shared" si="14"/>
        <v>2874.9600000000009</v>
      </c>
      <c r="Q10" s="313">
        <f t="shared" si="2"/>
        <v>1724.9760000000006</v>
      </c>
      <c r="R10" s="313">
        <f t="shared" si="3"/>
        <v>1149.9840000000004</v>
      </c>
      <c r="S10" s="314">
        <f t="shared" si="4"/>
        <v>0.4</v>
      </c>
      <c r="T10" s="313">
        <f t="shared" si="15"/>
        <v>1800</v>
      </c>
      <c r="U10" s="313">
        <f t="shared" si="5"/>
        <v>1404</v>
      </c>
      <c r="V10" s="313">
        <f t="shared" si="6"/>
        <v>396</v>
      </c>
      <c r="W10" s="314">
        <f t="shared" si="7"/>
        <v>0.22</v>
      </c>
      <c r="X10" s="313">
        <f t="shared" si="16"/>
        <v>1014</v>
      </c>
      <c r="Y10" s="313">
        <f t="shared" si="8"/>
        <v>659.1</v>
      </c>
      <c r="Z10" s="313">
        <f t="shared" si="9"/>
        <v>354.9</v>
      </c>
      <c r="AA10" s="314">
        <f t="shared" si="10"/>
        <v>0.35</v>
      </c>
      <c r="AB10" s="313">
        <f t="shared" si="17"/>
        <v>5942.0850000000009</v>
      </c>
      <c r="AC10" s="313">
        <f t="shared" si="17"/>
        <v>3977.9197500000005</v>
      </c>
      <c r="AD10" s="315">
        <f t="shared" si="17"/>
        <v>1964.1652500000005</v>
      </c>
    </row>
    <row r="11" spans="1:30" ht="14.25" customHeight="1" x14ac:dyDescent="0.3">
      <c r="A11" s="293"/>
      <c r="B11" s="311">
        <v>5</v>
      </c>
      <c r="C11" s="312">
        <v>2029</v>
      </c>
      <c r="D11" s="309">
        <f>'Revenue generation breakup'!I27</f>
        <v>316.40625</v>
      </c>
      <c r="E11" s="309">
        <f>'Revenue generation breakup'!F54</f>
        <v>4348.3770000000022</v>
      </c>
      <c r="F11" s="309">
        <f>'Revenue generation breakup'!E69</f>
        <v>2700</v>
      </c>
      <c r="G11" s="309">
        <f>'Revenue generation breakup'!E85</f>
        <v>1318.2</v>
      </c>
      <c r="H11" s="315">
        <f t="shared" si="0"/>
        <v>8682.983250000003</v>
      </c>
      <c r="I11" s="293"/>
      <c r="J11" s="311">
        <v>5</v>
      </c>
      <c r="K11" s="312">
        <v>2029</v>
      </c>
      <c r="L11" s="313">
        <f t="shared" si="11"/>
        <v>316.40625</v>
      </c>
      <c r="M11" s="313">
        <f t="shared" si="12"/>
        <v>237.3046875</v>
      </c>
      <c r="N11" s="313">
        <f t="shared" si="13"/>
        <v>79.1015625</v>
      </c>
      <c r="O11" s="314">
        <f t="shared" si="1"/>
        <v>0.25</v>
      </c>
      <c r="P11" s="313">
        <f t="shared" si="14"/>
        <v>4348.3770000000022</v>
      </c>
      <c r="Q11" s="313">
        <f t="shared" si="2"/>
        <v>2609.0262000000012</v>
      </c>
      <c r="R11" s="313">
        <f t="shared" si="3"/>
        <v>1739.3508000000011</v>
      </c>
      <c r="S11" s="314">
        <f t="shared" si="4"/>
        <v>0.4</v>
      </c>
      <c r="T11" s="313">
        <f t="shared" si="15"/>
        <v>2700</v>
      </c>
      <c r="U11" s="313">
        <f t="shared" si="5"/>
        <v>2106</v>
      </c>
      <c r="V11" s="313">
        <f t="shared" si="6"/>
        <v>594</v>
      </c>
      <c r="W11" s="314">
        <f t="shared" si="7"/>
        <v>0.22</v>
      </c>
      <c r="X11" s="313">
        <f t="shared" si="16"/>
        <v>1318.2</v>
      </c>
      <c r="Y11" s="313">
        <f t="shared" si="8"/>
        <v>856.83</v>
      </c>
      <c r="Z11" s="313">
        <f t="shared" si="9"/>
        <v>461.37</v>
      </c>
      <c r="AA11" s="314">
        <f t="shared" si="10"/>
        <v>0.35</v>
      </c>
      <c r="AB11" s="313">
        <f t="shared" si="17"/>
        <v>8682.983250000003</v>
      </c>
      <c r="AC11" s="313">
        <f t="shared" si="17"/>
        <v>5809.1608875000011</v>
      </c>
      <c r="AD11" s="315">
        <f t="shared" si="17"/>
        <v>2873.822362500001</v>
      </c>
    </row>
    <row r="12" spans="1:30" ht="14.25" customHeight="1" x14ac:dyDescent="0.3">
      <c r="A12" s="293"/>
      <c r="B12" s="311">
        <v>6</v>
      </c>
      <c r="C12" s="312">
        <v>2030</v>
      </c>
      <c r="D12" s="309">
        <f>'Revenue generation breakup'!I28</f>
        <v>395.5078125</v>
      </c>
      <c r="E12" s="309">
        <f>'Revenue generation breakup'!F55</f>
        <v>5811.0129000000034</v>
      </c>
      <c r="F12" s="309">
        <f>'Revenue generation breakup'!E70</f>
        <v>3375</v>
      </c>
      <c r="G12" s="309">
        <f>'Revenue generation breakup'!E86</f>
        <v>1713.66</v>
      </c>
      <c r="H12" s="315">
        <f t="shared" si="0"/>
        <v>11295.180712500003</v>
      </c>
      <c r="I12" s="293"/>
      <c r="J12" s="311">
        <v>6</v>
      </c>
      <c r="K12" s="312">
        <v>2030</v>
      </c>
      <c r="L12" s="313">
        <f t="shared" si="11"/>
        <v>395.5078125</v>
      </c>
      <c r="M12" s="313">
        <f t="shared" si="12"/>
        <v>296.630859375</v>
      </c>
      <c r="N12" s="313">
        <f t="shared" si="13"/>
        <v>98.876953125</v>
      </c>
      <c r="O12" s="314">
        <f t="shared" si="1"/>
        <v>0.25</v>
      </c>
      <c r="P12" s="313">
        <f t="shared" si="14"/>
        <v>5811.0129000000034</v>
      </c>
      <c r="Q12" s="313">
        <f t="shared" si="2"/>
        <v>3486.6077400000017</v>
      </c>
      <c r="R12" s="313">
        <f t="shared" si="3"/>
        <v>2324.4051600000016</v>
      </c>
      <c r="S12" s="314">
        <f t="shared" si="4"/>
        <v>0.4</v>
      </c>
      <c r="T12" s="313">
        <f t="shared" si="15"/>
        <v>3375</v>
      </c>
      <c r="U12" s="313">
        <f t="shared" si="5"/>
        <v>2632.5</v>
      </c>
      <c r="V12" s="313">
        <f t="shared" si="6"/>
        <v>742.5</v>
      </c>
      <c r="W12" s="314">
        <f t="shared" si="7"/>
        <v>0.22</v>
      </c>
      <c r="X12" s="313">
        <f t="shared" si="16"/>
        <v>1713.66</v>
      </c>
      <c r="Y12" s="313">
        <f t="shared" si="8"/>
        <v>1113.8790000000001</v>
      </c>
      <c r="Z12" s="313">
        <f t="shared" si="9"/>
        <v>599.78099999999995</v>
      </c>
      <c r="AA12" s="314">
        <f t="shared" si="10"/>
        <v>0.35</v>
      </c>
      <c r="AB12" s="313">
        <f t="shared" si="17"/>
        <v>11295.180712500003</v>
      </c>
      <c r="AC12" s="313">
        <f t="shared" si="17"/>
        <v>7529.6175993750012</v>
      </c>
      <c r="AD12" s="315">
        <f t="shared" si="17"/>
        <v>3765.5631131250016</v>
      </c>
    </row>
    <row r="13" spans="1:30" ht="14.25" customHeight="1" x14ac:dyDescent="0.3">
      <c r="A13" s="293"/>
      <c r="B13" s="311">
        <v>7</v>
      </c>
      <c r="C13" s="312">
        <v>2031</v>
      </c>
      <c r="D13" s="309">
        <f>'Revenue generation breakup'!I29</f>
        <v>494.384765625</v>
      </c>
      <c r="E13" s="309">
        <f>'Revenue generation breakup'!F56</f>
        <v>7409.0414475000052</v>
      </c>
      <c r="F13" s="309">
        <f>'Revenue generation breakup'!E71</f>
        <v>4218.75</v>
      </c>
      <c r="G13" s="309">
        <f>'Revenue generation breakup'!E87</f>
        <v>2227.7579999999998</v>
      </c>
      <c r="H13" s="315">
        <f t="shared" si="0"/>
        <v>14349.934213125005</v>
      </c>
      <c r="I13" s="293"/>
      <c r="J13" s="311">
        <v>7</v>
      </c>
      <c r="K13" s="312">
        <v>2031</v>
      </c>
      <c r="L13" s="313">
        <f t="shared" si="11"/>
        <v>494.384765625</v>
      </c>
      <c r="M13" s="313">
        <f t="shared" si="12"/>
        <v>370.78857421875</v>
      </c>
      <c r="N13" s="313">
        <f t="shared" si="13"/>
        <v>123.59619140625</v>
      </c>
      <c r="O13" s="314">
        <f t="shared" si="1"/>
        <v>0.25</v>
      </c>
      <c r="P13" s="313">
        <f t="shared" si="14"/>
        <v>7409.0414475000052</v>
      </c>
      <c r="Q13" s="313">
        <f t="shared" si="2"/>
        <v>4445.424868500003</v>
      </c>
      <c r="R13" s="313">
        <f t="shared" si="3"/>
        <v>2963.6165790000023</v>
      </c>
      <c r="S13" s="314">
        <f t="shared" si="4"/>
        <v>0.4</v>
      </c>
      <c r="T13" s="313">
        <f t="shared" si="15"/>
        <v>4218.75</v>
      </c>
      <c r="U13" s="313">
        <f t="shared" si="5"/>
        <v>3290.625</v>
      </c>
      <c r="V13" s="313">
        <f t="shared" si="6"/>
        <v>928.125</v>
      </c>
      <c r="W13" s="314">
        <f t="shared" si="7"/>
        <v>0.22</v>
      </c>
      <c r="X13" s="313">
        <f t="shared" si="16"/>
        <v>2227.7579999999998</v>
      </c>
      <c r="Y13" s="313">
        <f t="shared" si="8"/>
        <v>1448.0427</v>
      </c>
      <c r="Z13" s="313">
        <f t="shared" si="9"/>
        <v>779.71529999999984</v>
      </c>
      <c r="AA13" s="314">
        <f t="shared" si="10"/>
        <v>0.35</v>
      </c>
      <c r="AB13" s="313">
        <f t="shared" si="17"/>
        <v>14349.934213125005</v>
      </c>
      <c r="AC13" s="313">
        <f t="shared" si="17"/>
        <v>9554.8811427187538</v>
      </c>
      <c r="AD13" s="315">
        <f t="shared" si="17"/>
        <v>4795.0530704062521</v>
      </c>
    </row>
    <row r="14" spans="1:30" ht="14.25" customHeight="1" x14ac:dyDescent="0.3">
      <c r="A14" s="293"/>
      <c r="B14" s="311">
        <v>8</v>
      </c>
      <c r="C14" s="312">
        <v>2032</v>
      </c>
      <c r="D14" s="309">
        <f>'Revenue generation breakup'!I30</f>
        <v>617.98095703125</v>
      </c>
      <c r="E14" s="309">
        <f>'Revenue generation breakup'!F57</f>
        <v>9304.8844061250074</v>
      </c>
      <c r="F14" s="309">
        <f>'Revenue generation breakup'!E72</f>
        <v>5273.4375</v>
      </c>
      <c r="G14" s="309">
        <f>'Revenue generation breakup'!E88</f>
        <v>2896.0853999999999</v>
      </c>
      <c r="H14" s="315">
        <f t="shared" si="0"/>
        <v>18092.388263156259</v>
      </c>
      <c r="I14" s="293"/>
      <c r="J14" s="311">
        <v>8</v>
      </c>
      <c r="K14" s="312">
        <v>2032</v>
      </c>
      <c r="L14" s="313">
        <f t="shared" si="11"/>
        <v>617.98095703125</v>
      </c>
      <c r="M14" s="313">
        <f t="shared" si="12"/>
        <v>463.4857177734375</v>
      </c>
      <c r="N14" s="313">
        <f t="shared" si="13"/>
        <v>154.4952392578125</v>
      </c>
      <c r="O14" s="314">
        <f t="shared" si="1"/>
        <v>0.25</v>
      </c>
      <c r="P14" s="313">
        <f t="shared" si="14"/>
        <v>9304.8844061250074</v>
      </c>
      <c r="Q14" s="313">
        <f t="shared" si="2"/>
        <v>5582.9306436750039</v>
      </c>
      <c r="R14" s="313">
        <f t="shared" si="3"/>
        <v>3721.9537624500035</v>
      </c>
      <c r="S14" s="314">
        <f t="shared" si="4"/>
        <v>0.40000000000000008</v>
      </c>
      <c r="T14" s="313">
        <f t="shared" si="15"/>
        <v>5273.4375</v>
      </c>
      <c r="U14" s="313">
        <f t="shared" si="5"/>
        <v>4113.28125</v>
      </c>
      <c r="V14" s="313">
        <f t="shared" si="6"/>
        <v>1160.15625</v>
      </c>
      <c r="W14" s="314">
        <f t="shared" si="7"/>
        <v>0.22</v>
      </c>
      <c r="X14" s="313">
        <f t="shared" si="16"/>
        <v>2896.0853999999999</v>
      </c>
      <c r="Y14" s="313">
        <f t="shared" si="8"/>
        <v>1882.45551</v>
      </c>
      <c r="Z14" s="313">
        <f t="shared" si="9"/>
        <v>1013.6298899999999</v>
      </c>
      <c r="AA14" s="314">
        <f t="shared" si="10"/>
        <v>0.35</v>
      </c>
      <c r="AB14" s="313">
        <f t="shared" si="17"/>
        <v>18092.388263156259</v>
      </c>
      <c r="AC14" s="313">
        <f t="shared" si="17"/>
        <v>12042.153121448442</v>
      </c>
      <c r="AD14" s="315">
        <f t="shared" si="17"/>
        <v>6050.2351417078162</v>
      </c>
    </row>
    <row r="15" spans="1:30" ht="14.25" customHeight="1" x14ac:dyDescent="0.3">
      <c r="A15" s="293"/>
      <c r="B15" s="311">
        <v>9</v>
      </c>
      <c r="C15" s="312">
        <v>2033</v>
      </c>
      <c r="D15" s="309">
        <f>'Revenue generation breakup'!I31</f>
        <v>772.4761962890625</v>
      </c>
      <c r="E15" s="309">
        <f>'Revenue generation breakup'!F58</f>
        <v>11371.789056993759</v>
      </c>
      <c r="F15" s="309">
        <f>'Revenue generation breakup'!E73</f>
        <v>6591.796875</v>
      </c>
      <c r="G15" s="309">
        <f>'Revenue generation breakup'!E89</f>
        <v>3764.91102</v>
      </c>
      <c r="H15" s="315">
        <f t="shared" si="0"/>
        <v>22500.973148282821</v>
      </c>
      <c r="I15" s="293"/>
      <c r="J15" s="311">
        <v>9</v>
      </c>
      <c r="K15" s="312">
        <v>2033</v>
      </c>
      <c r="L15" s="313">
        <f t="shared" si="11"/>
        <v>772.4761962890625</v>
      </c>
      <c r="M15" s="313">
        <f t="shared" si="12"/>
        <v>579.35714721679688</v>
      </c>
      <c r="N15" s="313">
        <f t="shared" si="13"/>
        <v>193.11904907226563</v>
      </c>
      <c r="O15" s="314">
        <f t="shared" si="1"/>
        <v>0.25</v>
      </c>
      <c r="P15" s="313">
        <f t="shared" si="14"/>
        <v>11371.789056993759</v>
      </c>
      <c r="Q15" s="313">
        <f t="shared" si="2"/>
        <v>6823.0734341962552</v>
      </c>
      <c r="R15" s="313">
        <f t="shared" si="3"/>
        <v>4548.7156227975038</v>
      </c>
      <c r="S15" s="314">
        <f t="shared" si="4"/>
        <v>0.4</v>
      </c>
      <c r="T15" s="313">
        <f t="shared" si="15"/>
        <v>6591.796875</v>
      </c>
      <c r="U15" s="313">
        <f t="shared" si="5"/>
        <v>5141.6015625</v>
      </c>
      <c r="V15" s="313">
        <f t="shared" si="6"/>
        <v>1450.1953125</v>
      </c>
      <c r="W15" s="314">
        <f t="shared" si="7"/>
        <v>0.22</v>
      </c>
      <c r="X15" s="313">
        <f t="shared" si="16"/>
        <v>3764.91102</v>
      </c>
      <c r="Y15" s="313">
        <f t="shared" si="8"/>
        <v>2447.1921630000002</v>
      </c>
      <c r="Z15" s="313">
        <f t="shared" si="9"/>
        <v>1317.7188569999998</v>
      </c>
      <c r="AA15" s="314">
        <f t="shared" si="10"/>
        <v>0.35</v>
      </c>
      <c r="AB15" s="313">
        <f t="shared" si="17"/>
        <v>22500.973148282821</v>
      </c>
      <c r="AC15" s="313">
        <f t="shared" si="17"/>
        <v>14991.224306913053</v>
      </c>
      <c r="AD15" s="315">
        <f t="shared" si="17"/>
        <v>7509.7488413697693</v>
      </c>
    </row>
    <row r="16" spans="1:30" ht="14.25" customHeight="1" thickBot="1" x14ac:dyDescent="0.35">
      <c r="A16" s="293"/>
      <c r="B16" s="316">
        <v>10</v>
      </c>
      <c r="C16" s="317">
        <v>2034</v>
      </c>
      <c r="D16" s="309">
        <f>'Revenue generation breakup'!I32</f>
        <v>965.59524536132813</v>
      </c>
      <c r="E16" s="309">
        <f>'Revenue generation breakup'!F59</f>
        <v>13622.121961934074</v>
      </c>
      <c r="F16" s="309">
        <f>'Revenue generation breakup'!E74</f>
        <v>8239.74609375</v>
      </c>
      <c r="G16" s="309">
        <f>'Revenue generation breakup'!E90</f>
        <v>4894.3843260000003</v>
      </c>
      <c r="H16" s="318">
        <f t="shared" si="0"/>
        <v>27721.847627045401</v>
      </c>
      <c r="I16" s="293"/>
      <c r="J16" s="316">
        <v>10</v>
      </c>
      <c r="K16" s="317">
        <v>2034</v>
      </c>
      <c r="L16" s="313">
        <f>D16</f>
        <v>965.59524536132813</v>
      </c>
      <c r="M16" s="319">
        <f t="shared" si="12"/>
        <v>724.19643402099609</v>
      </c>
      <c r="N16" s="319">
        <f t="shared" si="13"/>
        <v>241.39881134033203</v>
      </c>
      <c r="O16" s="320">
        <f t="shared" si="1"/>
        <v>0.25</v>
      </c>
      <c r="P16" s="313">
        <f t="shared" si="14"/>
        <v>13622.121961934074</v>
      </c>
      <c r="Q16" s="319">
        <f t="shared" si="2"/>
        <v>8173.273177160444</v>
      </c>
      <c r="R16" s="319">
        <f t="shared" si="3"/>
        <v>5448.8487847736296</v>
      </c>
      <c r="S16" s="320">
        <f t="shared" si="4"/>
        <v>0.4</v>
      </c>
      <c r="T16" s="313">
        <f t="shared" si="15"/>
        <v>8239.74609375</v>
      </c>
      <c r="U16" s="313">
        <f t="shared" si="5"/>
        <v>6427.001953125</v>
      </c>
      <c r="V16" s="319">
        <f t="shared" si="6"/>
        <v>1812.744140625</v>
      </c>
      <c r="W16" s="320">
        <f t="shared" si="7"/>
        <v>0.22</v>
      </c>
      <c r="X16" s="313">
        <f t="shared" si="16"/>
        <v>4894.3843260000003</v>
      </c>
      <c r="Y16" s="319">
        <f t="shared" si="8"/>
        <v>3181.3498119000005</v>
      </c>
      <c r="Z16" s="319">
        <f t="shared" si="9"/>
        <v>1713.0345140999998</v>
      </c>
      <c r="AA16" s="320">
        <f t="shared" si="10"/>
        <v>0.34999999999999992</v>
      </c>
      <c r="AB16" s="319">
        <f t="shared" si="17"/>
        <v>27721.847627045401</v>
      </c>
      <c r="AC16" s="319">
        <f t="shared" si="17"/>
        <v>18505.821376206441</v>
      </c>
      <c r="AD16" s="318">
        <f t="shared" si="17"/>
        <v>9216.0262508389606</v>
      </c>
    </row>
    <row r="17" spans="1:30" ht="14.25" customHeight="1" thickBot="1" x14ac:dyDescent="0.35">
      <c r="A17" s="293"/>
      <c r="B17" s="296"/>
      <c r="C17" s="297"/>
      <c r="D17" s="321">
        <f t="shared" ref="D17:H17" si="18">SUM(D7:D16)</f>
        <v>4314.9762268066406</v>
      </c>
      <c r="E17" s="321">
        <f t="shared" si="18"/>
        <v>57437.686772552857</v>
      </c>
      <c r="F17" s="321">
        <f t="shared" si="18"/>
        <v>34073.73046875</v>
      </c>
      <c r="G17" s="321">
        <f t="shared" si="18"/>
        <v>19358.998745999997</v>
      </c>
      <c r="H17" s="322">
        <f t="shared" si="18"/>
        <v>115185.3922141095</v>
      </c>
      <c r="I17" s="293"/>
      <c r="J17" s="299"/>
      <c r="K17" s="300"/>
      <c r="L17" s="323">
        <f>SUM(L7:L16)</f>
        <v>4314.9762268066406</v>
      </c>
      <c r="M17" s="301"/>
      <c r="N17" s="301"/>
      <c r="O17" s="301"/>
      <c r="P17" s="324">
        <f>SUM(P7:P16)</f>
        <v>57437.686772552857</v>
      </c>
      <c r="Q17" s="302"/>
      <c r="R17" s="302"/>
      <c r="S17" s="302"/>
      <c r="T17" s="325">
        <f>SUM(T7:T16)</f>
        <v>34073.73046875</v>
      </c>
      <c r="U17" s="303"/>
      <c r="V17" s="303"/>
      <c r="W17" s="303"/>
      <c r="X17" s="326">
        <f>SUM(X7:X16)</f>
        <v>19358.998745999997</v>
      </c>
      <c r="Y17" s="304"/>
      <c r="Z17" s="304"/>
      <c r="AA17" s="304"/>
      <c r="AB17" s="327">
        <f t="shared" ref="AB17:AD17" si="19">SUM(AB7:AB16)</f>
        <v>115185.3922141095</v>
      </c>
      <c r="AC17" s="327">
        <f t="shared" si="19"/>
        <v>76859.703184161684</v>
      </c>
      <c r="AD17" s="328">
        <f t="shared" si="19"/>
        <v>38325.689029947796</v>
      </c>
    </row>
    <row r="18" spans="1:30" ht="14.25" customHeight="1" x14ac:dyDescent="0.3">
      <c r="A18" s="293"/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</row>
    <row r="19" spans="1:30" ht="14.25" customHeight="1" x14ac:dyDescent="0.3">
      <c r="A19" s="293"/>
      <c r="B19" s="448" t="s">
        <v>4</v>
      </c>
      <c r="C19" s="448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</row>
    <row r="20" spans="1:30" ht="14.25" customHeight="1" x14ac:dyDescent="0.3">
      <c r="A20" s="293"/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</row>
    <row r="21" spans="1:30" ht="14.25" customHeight="1" x14ac:dyDescent="0.3">
      <c r="A21" s="293"/>
      <c r="B21" s="329"/>
      <c r="C21" s="329"/>
      <c r="D21" s="329"/>
      <c r="E21" s="329"/>
      <c r="F21" s="329"/>
      <c r="G21" s="329"/>
      <c r="H21" s="329"/>
      <c r="I21" s="329"/>
      <c r="K21" s="445" t="s">
        <v>355</v>
      </c>
      <c r="L21" s="446"/>
      <c r="M21" s="446"/>
      <c r="N21" s="447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</row>
    <row r="22" spans="1:30" ht="14.25" customHeight="1" x14ac:dyDescent="0.3">
      <c r="A22" s="293"/>
      <c r="B22" s="331" t="s">
        <v>342</v>
      </c>
      <c r="C22" s="331" t="s">
        <v>343</v>
      </c>
      <c r="D22" s="332" t="s">
        <v>356</v>
      </c>
      <c r="E22" s="332" t="s">
        <v>357</v>
      </c>
      <c r="F22" s="332" t="s">
        <v>358</v>
      </c>
      <c r="G22" s="332" t="s">
        <v>359</v>
      </c>
      <c r="H22" s="332" t="s">
        <v>360</v>
      </c>
      <c r="I22" s="332" t="s">
        <v>361</v>
      </c>
      <c r="J22" s="117"/>
      <c r="K22" s="333" t="s">
        <v>342</v>
      </c>
      <c r="L22" s="333" t="s">
        <v>362</v>
      </c>
      <c r="M22" s="334" t="s">
        <v>363</v>
      </c>
      <c r="N22" s="333" t="s">
        <v>364</v>
      </c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</row>
    <row r="23" spans="1:30" ht="14.25" customHeight="1" x14ac:dyDescent="0.3">
      <c r="A23" s="293"/>
      <c r="B23" s="335">
        <v>1</v>
      </c>
      <c r="C23" s="335">
        <v>2025</v>
      </c>
      <c r="D23" s="336">
        <v>25</v>
      </c>
      <c r="E23" s="336">
        <f t="shared" ref="E23:E32" si="20">D23*60%</f>
        <v>15</v>
      </c>
      <c r="F23" s="335">
        <v>35</v>
      </c>
      <c r="G23" s="336">
        <f t="shared" ref="G23:G32" si="21">75000*E23</f>
        <v>1125000</v>
      </c>
      <c r="H23" s="336">
        <f t="shared" ref="H23:H32" si="22">G23*12</f>
        <v>13500000</v>
      </c>
      <c r="I23" s="337">
        <f t="shared" ref="I23:I32" si="23">H23/100000</f>
        <v>135</v>
      </c>
      <c r="K23" s="335">
        <v>1</v>
      </c>
      <c r="L23" s="338" t="s">
        <v>365</v>
      </c>
      <c r="M23" s="339">
        <v>0.35</v>
      </c>
      <c r="N23" s="338" t="s">
        <v>366</v>
      </c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</row>
    <row r="24" spans="1:30" ht="14.25" customHeight="1" x14ac:dyDescent="0.3">
      <c r="A24" s="293"/>
      <c r="B24" s="335">
        <v>2</v>
      </c>
      <c r="C24" s="335">
        <v>2026</v>
      </c>
      <c r="D24" s="336">
        <f>24*125%</f>
        <v>30</v>
      </c>
      <c r="E24" s="336">
        <f t="shared" si="20"/>
        <v>18</v>
      </c>
      <c r="F24" s="336">
        <f t="shared" ref="F24:F32" si="24">F23*105%</f>
        <v>36.75</v>
      </c>
      <c r="G24" s="336">
        <f t="shared" si="21"/>
        <v>1350000</v>
      </c>
      <c r="H24" s="336">
        <f t="shared" si="22"/>
        <v>16200000</v>
      </c>
      <c r="I24" s="337">
        <f t="shared" si="23"/>
        <v>162</v>
      </c>
      <c r="K24" s="335">
        <v>2</v>
      </c>
      <c r="L24" s="338" t="s">
        <v>367</v>
      </c>
      <c r="M24" s="339">
        <v>0.25</v>
      </c>
      <c r="N24" s="338" t="s">
        <v>368</v>
      </c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</row>
    <row r="25" spans="1:30" ht="14.25" customHeight="1" x14ac:dyDescent="0.3">
      <c r="A25" s="293"/>
      <c r="B25" s="335">
        <v>3</v>
      </c>
      <c r="C25" s="335">
        <v>2027</v>
      </c>
      <c r="D25" s="336">
        <f t="shared" ref="D25:D32" si="25">D24*125%</f>
        <v>37.5</v>
      </c>
      <c r="E25" s="336">
        <f t="shared" si="20"/>
        <v>22.5</v>
      </c>
      <c r="F25" s="336">
        <f t="shared" si="24"/>
        <v>38.587499999999999</v>
      </c>
      <c r="G25" s="336">
        <f t="shared" si="21"/>
        <v>1687500</v>
      </c>
      <c r="H25" s="336">
        <f t="shared" si="22"/>
        <v>20250000</v>
      </c>
      <c r="I25" s="337">
        <f t="shared" si="23"/>
        <v>202.5</v>
      </c>
      <c r="K25" s="335">
        <v>3</v>
      </c>
      <c r="L25" s="338" t="s">
        <v>369</v>
      </c>
      <c r="M25" s="339">
        <v>0.05</v>
      </c>
      <c r="N25" s="338" t="s">
        <v>370</v>
      </c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</row>
    <row r="26" spans="1:30" ht="14.25" customHeight="1" x14ac:dyDescent="0.3">
      <c r="A26" s="293"/>
      <c r="B26" s="335">
        <v>4</v>
      </c>
      <c r="C26" s="335">
        <v>2028</v>
      </c>
      <c r="D26" s="336">
        <f t="shared" si="25"/>
        <v>46.875</v>
      </c>
      <c r="E26" s="336">
        <f t="shared" si="20"/>
        <v>28.125</v>
      </c>
      <c r="F26" s="336">
        <f t="shared" si="24"/>
        <v>40.516874999999999</v>
      </c>
      <c r="G26" s="336">
        <f t="shared" si="21"/>
        <v>2109375</v>
      </c>
      <c r="H26" s="336">
        <f t="shared" si="22"/>
        <v>25312500</v>
      </c>
      <c r="I26" s="337">
        <f t="shared" si="23"/>
        <v>253.125</v>
      </c>
      <c r="K26" s="335">
        <v>4</v>
      </c>
      <c r="L26" s="338" t="s">
        <v>371</v>
      </c>
      <c r="M26" s="339">
        <v>0.1</v>
      </c>
      <c r="N26" s="338" t="s">
        <v>370</v>
      </c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</row>
    <row r="27" spans="1:30" ht="14.25" customHeight="1" x14ac:dyDescent="0.3">
      <c r="A27" s="293"/>
      <c r="B27" s="335">
        <v>5</v>
      </c>
      <c r="C27" s="335">
        <v>2029</v>
      </c>
      <c r="D27" s="336">
        <f t="shared" si="25"/>
        <v>58.59375</v>
      </c>
      <c r="E27" s="336">
        <f t="shared" si="20"/>
        <v>35.15625</v>
      </c>
      <c r="F27" s="336">
        <f t="shared" si="24"/>
        <v>42.542718749999999</v>
      </c>
      <c r="G27" s="336">
        <f t="shared" si="21"/>
        <v>2636718.75</v>
      </c>
      <c r="H27" s="336">
        <f t="shared" si="22"/>
        <v>31640625</v>
      </c>
      <c r="I27" s="337">
        <f t="shared" si="23"/>
        <v>316.40625</v>
      </c>
      <c r="K27" s="340"/>
      <c r="L27" s="341" t="s">
        <v>372</v>
      </c>
      <c r="M27" s="342">
        <f>SUM(M23:M26)</f>
        <v>0.75</v>
      </c>
      <c r="N27" s="34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</row>
    <row r="28" spans="1:30" ht="14.25" customHeight="1" x14ac:dyDescent="0.3">
      <c r="A28" s="293"/>
      <c r="B28" s="335">
        <v>6</v>
      </c>
      <c r="C28" s="335">
        <v>2030</v>
      </c>
      <c r="D28" s="336">
        <f t="shared" si="25"/>
        <v>73.2421875</v>
      </c>
      <c r="E28" s="336">
        <f t="shared" si="20"/>
        <v>43.9453125</v>
      </c>
      <c r="F28" s="336">
        <f t="shared" si="24"/>
        <v>44.669854687499999</v>
      </c>
      <c r="G28" s="336">
        <f t="shared" si="21"/>
        <v>3295898.4375</v>
      </c>
      <c r="H28" s="336">
        <f t="shared" si="22"/>
        <v>39550781.25</v>
      </c>
      <c r="I28" s="337">
        <f t="shared" si="23"/>
        <v>395.5078125</v>
      </c>
      <c r="K28" s="335"/>
      <c r="L28" s="338"/>
      <c r="M28" s="335"/>
      <c r="N28" s="34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</row>
    <row r="29" spans="1:30" ht="14.25" customHeight="1" x14ac:dyDescent="0.3">
      <c r="A29" s="293"/>
      <c r="B29" s="335">
        <v>7</v>
      </c>
      <c r="C29" s="335">
        <v>2031</v>
      </c>
      <c r="D29" s="336">
        <f t="shared" si="25"/>
        <v>91.552734375</v>
      </c>
      <c r="E29" s="336">
        <f t="shared" si="20"/>
        <v>54.931640625</v>
      </c>
      <c r="F29" s="336">
        <f t="shared" si="24"/>
        <v>46.903347421875004</v>
      </c>
      <c r="G29" s="336">
        <f t="shared" si="21"/>
        <v>4119873.046875</v>
      </c>
      <c r="H29" s="336">
        <f t="shared" si="22"/>
        <v>49438476.5625</v>
      </c>
      <c r="I29" s="337">
        <f t="shared" si="23"/>
        <v>494.384765625</v>
      </c>
      <c r="K29" s="335"/>
      <c r="L29" s="343"/>
      <c r="M29" s="344"/>
      <c r="N29" s="34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</row>
    <row r="30" spans="1:30" ht="14.25" customHeight="1" x14ac:dyDescent="0.3">
      <c r="A30" s="293"/>
      <c r="B30" s="335">
        <v>8</v>
      </c>
      <c r="C30" s="335">
        <v>2032</v>
      </c>
      <c r="D30" s="336">
        <f t="shared" si="25"/>
        <v>114.44091796875</v>
      </c>
      <c r="E30" s="336">
        <f t="shared" si="20"/>
        <v>68.66455078125</v>
      </c>
      <c r="F30" s="336">
        <f t="shared" si="24"/>
        <v>49.248514792968756</v>
      </c>
      <c r="G30" s="336">
        <f t="shared" si="21"/>
        <v>5149841.30859375</v>
      </c>
      <c r="H30" s="336">
        <f t="shared" si="22"/>
        <v>61798095.703125</v>
      </c>
      <c r="I30" s="337">
        <f t="shared" si="23"/>
        <v>617.98095703125</v>
      </c>
      <c r="K30" s="335"/>
      <c r="L30" s="343"/>
      <c r="M30" s="344"/>
      <c r="N30" s="34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</row>
    <row r="31" spans="1:30" ht="14.25" customHeight="1" x14ac:dyDescent="0.3">
      <c r="A31" s="293"/>
      <c r="B31" s="335">
        <v>9</v>
      </c>
      <c r="C31" s="335">
        <v>2033</v>
      </c>
      <c r="D31" s="336">
        <f t="shared" si="25"/>
        <v>143.0511474609375</v>
      </c>
      <c r="E31" s="336">
        <f t="shared" si="20"/>
        <v>85.8306884765625</v>
      </c>
      <c r="F31" s="336">
        <f t="shared" si="24"/>
        <v>51.710940532617194</v>
      </c>
      <c r="G31" s="336">
        <f t="shared" si="21"/>
        <v>6437301.6357421875</v>
      </c>
      <c r="H31" s="336">
        <f t="shared" si="22"/>
        <v>77247619.62890625</v>
      </c>
      <c r="I31" s="337">
        <f t="shared" si="23"/>
        <v>772.4761962890625</v>
      </c>
      <c r="K31" s="335"/>
      <c r="L31" s="343"/>
      <c r="M31" s="335"/>
      <c r="N31" s="34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</row>
    <row r="32" spans="1:30" ht="14.25" customHeight="1" x14ac:dyDescent="0.3">
      <c r="A32" s="293"/>
      <c r="B32" s="335">
        <v>10</v>
      </c>
      <c r="C32" s="335">
        <v>2034</v>
      </c>
      <c r="D32" s="336">
        <f t="shared" si="25"/>
        <v>178.81393432617188</v>
      </c>
      <c r="E32" s="336">
        <f t="shared" si="20"/>
        <v>107.28836059570313</v>
      </c>
      <c r="F32" s="336">
        <f t="shared" si="24"/>
        <v>54.296487559248057</v>
      </c>
      <c r="G32" s="336">
        <f t="shared" si="21"/>
        <v>8046627.0446777344</v>
      </c>
      <c r="H32" s="336">
        <f t="shared" si="22"/>
        <v>96559524.536132813</v>
      </c>
      <c r="I32" s="337">
        <f t="shared" si="23"/>
        <v>965.59524536132813</v>
      </c>
      <c r="K32" s="335"/>
      <c r="L32" s="343"/>
      <c r="M32" s="335"/>
      <c r="N32" s="34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</row>
    <row r="33" spans="1:30" ht="14.25" customHeight="1" x14ac:dyDescent="0.3">
      <c r="A33" s="293"/>
      <c r="B33" s="340"/>
      <c r="C33" s="340" t="s">
        <v>8</v>
      </c>
      <c r="D33" s="345">
        <f>SUM(D23:D32)</f>
        <v>799.06967163085938</v>
      </c>
      <c r="E33" s="345">
        <f>SUM(E23:E32)</f>
        <v>479.44180297851563</v>
      </c>
      <c r="F33" s="340"/>
      <c r="G33" s="340"/>
      <c r="H33" s="340"/>
      <c r="I33" s="346">
        <f>SUM(I23:I32)</f>
        <v>4314.9762268066406</v>
      </c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</row>
    <row r="34" spans="1:30" ht="14.25" customHeight="1" x14ac:dyDescent="0.3">
      <c r="A34" s="293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</row>
    <row r="35" spans="1:30" ht="14.25" customHeight="1" x14ac:dyDescent="0.3">
      <c r="A35" s="293"/>
      <c r="B35" s="448" t="s">
        <v>5</v>
      </c>
      <c r="C35" s="448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</row>
    <row r="36" spans="1:30" ht="14.25" customHeight="1" x14ac:dyDescent="0.3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</row>
    <row r="37" spans="1:30" ht="14.25" customHeight="1" x14ac:dyDescent="0.3">
      <c r="A37" s="293"/>
      <c r="B37" s="331" t="s">
        <v>342</v>
      </c>
      <c r="C37" s="332" t="s">
        <v>373</v>
      </c>
      <c r="D37" s="332" t="s">
        <v>374</v>
      </c>
      <c r="E37" s="331" t="s">
        <v>364</v>
      </c>
      <c r="F37" s="293"/>
      <c r="G37" s="445" t="s">
        <v>375</v>
      </c>
      <c r="H37" s="446"/>
      <c r="I37" s="446"/>
      <c r="J37" s="446"/>
      <c r="K37" s="446"/>
      <c r="L37" s="446"/>
      <c r="M37" s="446"/>
      <c r="N37" s="446"/>
      <c r="O37" s="446"/>
      <c r="P37" s="447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</row>
    <row r="38" spans="1:30" ht="14.25" customHeight="1" x14ac:dyDescent="0.3">
      <c r="A38" s="293"/>
      <c r="B38" s="312">
        <v>1</v>
      </c>
      <c r="C38" s="347" t="s">
        <v>376</v>
      </c>
      <c r="D38" s="348">
        <v>90</v>
      </c>
      <c r="E38" s="349" t="s">
        <v>377</v>
      </c>
      <c r="F38" s="350"/>
      <c r="G38" s="331" t="s">
        <v>378</v>
      </c>
      <c r="H38" s="331" t="s">
        <v>286</v>
      </c>
      <c r="I38" s="332" t="s">
        <v>379</v>
      </c>
      <c r="J38" s="332" t="s">
        <v>380</v>
      </c>
      <c r="K38" s="332" t="s">
        <v>381</v>
      </c>
      <c r="L38" s="332" t="s">
        <v>382</v>
      </c>
      <c r="M38" s="332" t="s">
        <v>383</v>
      </c>
      <c r="N38" s="332" t="s">
        <v>384</v>
      </c>
      <c r="O38" s="332" t="s">
        <v>385</v>
      </c>
      <c r="P38" s="332" t="s">
        <v>386</v>
      </c>
      <c r="Q38" s="350"/>
      <c r="R38" s="350"/>
      <c r="S38" s="350"/>
      <c r="T38" s="350"/>
      <c r="U38" s="350"/>
      <c r="V38" s="350"/>
      <c r="W38" s="350"/>
      <c r="X38" s="350"/>
      <c r="Y38" s="350"/>
      <c r="Z38" s="293"/>
      <c r="AA38" s="293"/>
      <c r="AB38" s="293"/>
      <c r="AC38" s="293"/>
      <c r="AD38" s="293"/>
    </row>
    <row r="39" spans="1:30" ht="14.25" customHeight="1" x14ac:dyDescent="0.3">
      <c r="A39" s="293"/>
      <c r="B39" s="335">
        <v>2</v>
      </c>
      <c r="C39" s="330" t="s">
        <v>387</v>
      </c>
      <c r="D39" s="351"/>
      <c r="E39" s="352"/>
      <c r="G39" s="338" t="s">
        <v>388</v>
      </c>
      <c r="H39" s="353">
        <v>75</v>
      </c>
      <c r="I39" s="335">
        <v>300</v>
      </c>
      <c r="J39" s="335">
        <v>5</v>
      </c>
      <c r="K39" s="336">
        <f>I39/J39</f>
        <v>60</v>
      </c>
      <c r="L39" s="335">
        <f>I39*H39</f>
        <v>22500</v>
      </c>
      <c r="M39" s="335">
        <f>L39*25</f>
        <v>562500</v>
      </c>
      <c r="N39" s="335">
        <f>M39*12</f>
        <v>6750000</v>
      </c>
      <c r="O39" s="335">
        <f>N39*65%</f>
        <v>4387500</v>
      </c>
      <c r="P39" s="353">
        <f>O39/100000</f>
        <v>43.875</v>
      </c>
      <c r="Z39" s="293"/>
      <c r="AA39" s="293"/>
      <c r="AB39" s="293"/>
      <c r="AC39" s="293"/>
      <c r="AD39" s="293"/>
    </row>
    <row r="40" spans="1:30" ht="14.25" customHeight="1" x14ac:dyDescent="0.3">
      <c r="A40" s="293"/>
      <c r="B40" s="354">
        <v>2.1</v>
      </c>
      <c r="C40" s="343" t="s">
        <v>389</v>
      </c>
      <c r="D40" s="353">
        <f>D38*22%</f>
        <v>19.8</v>
      </c>
      <c r="E40" s="338" t="s">
        <v>390</v>
      </c>
      <c r="G40" s="338" t="s">
        <v>391</v>
      </c>
      <c r="H40" s="353">
        <v>110</v>
      </c>
      <c r="I40" s="335">
        <v>270</v>
      </c>
      <c r="J40" s="335">
        <v>4</v>
      </c>
      <c r="K40" s="336">
        <f>I40/J40</f>
        <v>67.5</v>
      </c>
      <c r="L40" s="335">
        <f>I40*H40</f>
        <v>29700</v>
      </c>
      <c r="M40" s="335">
        <f>L40*25</f>
        <v>742500</v>
      </c>
      <c r="N40" s="335">
        <f>M40*12</f>
        <v>8910000</v>
      </c>
      <c r="O40" s="335">
        <f>N40*65%</f>
        <v>5791500</v>
      </c>
      <c r="P40" s="353">
        <f>O40/100000</f>
        <v>57.914999999999999</v>
      </c>
      <c r="Z40" s="293"/>
      <c r="AA40" s="293"/>
      <c r="AB40" s="293"/>
      <c r="AC40" s="293"/>
      <c r="AD40" s="293"/>
    </row>
    <row r="41" spans="1:30" ht="14.25" customHeight="1" x14ac:dyDescent="0.3">
      <c r="A41" s="293"/>
      <c r="B41" s="354">
        <v>2.2000000000000002</v>
      </c>
      <c r="C41" s="343" t="s">
        <v>392</v>
      </c>
      <c r="D41" s="353">
        <f>D38*25%</f>
        <v>22.5</v>
      </c>
      <c r="E41" s="338" t="s">
        <v>393</v>
      </c>
      <c r="G41" s="338" t="s">
        <v>394</v>
      </c>
      <c r="H41" s="353">
        <v>60</v>
      </c>
      <c r="I41" s="335">
        <v>200</v>
      </c>
      <c r="J41" s="335">
        <v>4</v>
      </c>
      <c r="K41" s="336">
        <f>I41/J41</f>
        <v>50</v>
      </c>
      <c r="L41" s="335">
        <f>I41*H41</f>
        <v>12000</v>
      </c>
      <c r="M41" s="335">
        <f>L41*25</f>
        <v>300000</v>
      </c>
      <c r="N41" s="335">
        <f>M41*12</f>
        <v>3600000</v>
      </c>
      <c r="O41" s="335">
        <f>N41*65%</f>
        <v>2340000</v>
      </c>
      <c r="P41" s="353">
        <f>O41/100000</f>
        <v>23.4</v>
      </c>
      <c r="Z41" s="293"/>
      <c r="AA41" s="293"/>
      <c r="AB41" s="293"/>
      <c r="AC41" s="293"/>
      <c r="AD41" s="293"/>
    </row>
    <row r="42" spans="1:30" ht="14.25" customHeight="1" x14ac:dyDescent="0.3">
      <c r="A42" s="293"/>
      <c r="B42" s="354">
        <v>2.2999999999999998</v>
      </c>
      <c r="C42" s="343" t="s">
        <v>395</v>
      </c>
      <c r="D42" s="353">
        <f>D38*10%</f>
        <v>9</v>
      </c>
      <c r="E42" s="338" t="s">
        <v>396</v>
      </c>
      <c r="G42" s="340" t="s">
        <v>8</v>
      </c>
      <c r="H42" s="340"/>
      <c r="I42" s="340">
        <f t="shared" ref="I42:O42" si="26">SUM(I39:I41)</f>
        <v>770</v>
      </c>
      <c r="J42" s="340">
        <f t="shared" si="26"/>
        <v>13</v>
      </c>
      <c r="K42" s="345">
        <f t="shared" si="26"/>
        <v>177.5</v>
      </c>
      <c r="L42" s="340">
        <f t="shared" si="26"/>
        <v>64200</v>
      </c>
      <c r="M42" s="340">
        <f t="shared" si="26"/>
        <v>1605000</v>
      </c>
      <c r="N42" s="340">
        <f t="shared" si="26"/>
        <v>19260000</v>
      </c>
      <c r="O42" s="340">
        <f t="shared" si="26"/>
        <v>12519000</v>
      </c>
      <c r="P42" s="346">
        <f>O42/100000</f>
        <v>125.19</v>
      </c>
      <c r="Z42" s="293"/>
      <c r="AA42" s="293"/>
      <c r="AB42" s="293"/>
      <c r="AC42" s="293"/>
      <c r="AD42" s="293"/>
    </row>
    <row r="43" spans="1:30" ht="14.25" customHeight="1" x14ac:dyDescent="0.3">
      <c r="A43" s="293"/>
      <c r="B43" s="354">
        <v>2.4</v>
      </c>
      <c r="C43" s="343" t="s">
        <v>397</v>
      </c>
      <c r="D43" s="353">
        <f>D38*4%</f>
        <v>3.6</v>
      </c>
      <c r="E43" s="338" t="s">
        <v>398</v>
      </c>
      <c r="G43" s="343"/>
      <c r="H43" s="343"/>
      <c r="I43" s="343"/>
      <c r="J43" s="343"/>
      <c r="K43" s="343"/>
      <c r="L43" s="343"/>
      <c r="M43" s="343"/>
      <c r="N43" s="343"/>
      <c r="O43" s="343"/>
      <c r="P43" s="343"/>
      <c r="Z43" s="293"/>
      <c r="AA43" s="293"/>
      <c r="AB43" s="293"/>
      <c r="AC43" s="293"/>
      <c r="AD43" s="293"/>
    </row>
    <row r="44" spans="1:30" ht="14.25" customHeight="1" x14ac:dyDescent="0.3">
      <c r="A44" s="293"/>
      <c r="B44" s="354">
        <v>2.5</v>
      </c>
      <c r="C44" s="343" t="s">
        <v>399</v>
      </c>
      <c r="D44" s="353">
        <f>D38*5%</f>
        <v>4.5</v>
      </c>
      <c r="E44" s="338" t="s">
        <v>393</v>
      </c>
      <c r="Z44" s="293"/>
      <c r="AA44" s="293"/>
      <c r="AB44" s="293"/>
      <c r="AC44" s="293"/>
      <c r="AD44" s="293"/>
    </row>
    <row r="45" spans="1:30" ht="14.25" customHeight="1" x14ac:dyDescent="0.3">
      <c r="A45" s="293"/>
      <c r="B45" s="335">
        <v>3</v>
      </c>
      <c r="C45" s="340" t="s">
        <v>400</v>
      </c>
      <c r="D45" s="346">
        <f>SUM(D40:D44)</f>
        <v>59.4</v>
      </c>
      <c r="E45" s="343"/>
      <c r="Z45" s="293"/>
      <c r="AA45" s="293"/>
      <c r="AB45" s="293"/>
      <c r="AC45" s="293"/>
      <c r="AD45" s="293"/>
    </row>
    <row r="46" spans="1:30" ht="14.25" customHeight="1" x14ac:dyDescent="0.3">
      <c r="A46" s="293"/>
      <c r="B46" s="335">
        <v>4</v>
      </c>
      <c r="C46" s="343" t="s">
        <v>401</v>
      </c>
      <c r="D46" s="353">
        <f>D38-D45</f>
        <v>30.6</v>
      </c>
      <c r="E46" s="343"/>
      <c r="Z46" s="293"/>
      <c r="AA46" s="293"/>
      <c r="AB46" s="293"/>
      <c r="AC46" s="293"/>
      <c r="AD46" s="293"/>
    </row>
    <row r="47" spans="1:30" ht="14.25" customHeight="1" x14ac:dyDescent="0.3">
      <c r="A47" s="293"/>
      <c r="B47" s="355">
        <v>4.0999999999999996</v>
      </c>
      <c r="C47" s="356" t="s">
        <v>402</v>
      </c>
      <c r="D47" s="357">
        <f>D46/D38</f>
        <v>0.34</v>
      </c>
      <c r="E47" s="358"/>
      <c r="Z47" s="293"/>
      <c r="AA47" s="293"/>
      <c r="AB47" s="293"/>
      <c r="AC47" s="293"/>
      <c r="AD47" s="293"/>
    </row>
    <row r="48" spans="1:30" ht="14.25" customHeight="1" x14ac:dyDescent="0.3">
      <c r="A48" s="293"/>
      <c r="B48" s="359"/>
      <c r="Z48" s="293"/>
      <c r="AA48" s="293"/>
      <c r="AB48" s="293"/>
      <c r="AC48" s="293"/>
      <c r="AD48" s="293"/>
    </row>
    <row r="49" spans="1:30" ht="14.25" customHeight="1" x14ac:dyDescent="0.3">
      <c r="A49" s="293"/>
      <c r="B49" s="331" t="s">
        <v>342</v>
      </c>
      <c r="C49" s="331" t="s">
        <v>343</v>
      </c>
      <c r="D49" s="332" t="s">
        <v>403</v>
      </c>
      <c r="E49" s="332" t="s">
        <v>404</v>
      </c>
      <c r="F49" s="332" t="s">
        <v>405</v>
      </c>
      <c r="G49" s="331" t="s">
        <v>406</v>
      </c>
      <c r="I49" s="331" t="s">
        <v>342</v>
      </c>
      <c r="J49" s="331" t="s">
        <v>407</v>
      </c>
      <c r="K49" s="332" t="s">
        <v>408</v>
      </c>
      <c r="Z49" s="293"/>
      <c r="AA49" s="293"/>
      <c r="AB49" s="293"/>
      <c r="AC49" s="293"/>
      <c r="AD49" s="293"/>
    </row>
    <row r="50" spans="1:30" ht="14.25" customHeight="1" x14ac:dyDescent="0.3">
      <c r="A50" s="293"/>
      <c r="B50" s="335">
        <v>1</v>
      </c>
      <c r="C50" s="335">
        <v>2025</v>
      </c>
      <c r="D50" s="335">
        <v>3</v>
      </c>
      <c r="E50" s="335">
        <v>3</v>
      </c>
      <c r="F50" s="337">
        <f t="shared" ref="F50:F59" si="27">K50*E50</f>
        <v>270</v>
      </c>
      <c r="G50" s="337">
        <f t="shared" ref="G50:G59" si="28">D50*8</f>
        <v>24</v>
      </c>
      <c r="I50" s="335">
        <v>1</v>
      </c>
      <c r="J50" s="335">
        <v>2025</v>
      </c>
      <c r="K50" s="337">
        <f>90</f>
        <v>90</v>
      </c>
      <c r="Z50" s="293"/>
      <c r="AA50" s="293"/>
      <c r="AB50" s="293"/>
      <c r="AC50" s="293"/>
      <c r="AD50" s="293"/>
    </row>
    <row r="51" spans="1:30" ht="14.25" customHeight="1" x14ac:dyDescent="0.3">
      <c r="A51" s="293"/>
      <c r="B51" s="335">
        <v>2</v>
      </c>
      <c r="C51" s="335">
        <v>2026</v>
      </c>
      <c r="D51" s="335">
        <v>5</v>
      </c>
      <c r="E51" s="335">
        <f>SUM(D50:D51)</f>
        <v>8</v>
      </c>
      <c r="F51" s="337">
        <f t="shared" si="27"/>
        <v>792.00000000000011</v>
      </c>
      <c r="G51" s="337">
        <f t="shared" si="28"/>
        <v>40</v>
      </c>
      <c r="I51" s="335">
        <v>2</v>
      </c>
      <c r="J51" s="335">
        <v>2026</v>
      </c>
      <c r="K51" s="337">
        <f>K50*1.1</f>
        <v>99.000000000000014</v>
      </c>
      <c r="Z51" s="293"/>
      <c r="AA51" s="293"/>
      <c r="AB51" s="293"/>
      <c r="AC51" s="293"/>
      <c r="AD51" s="293"/>
    </row>
    <row r="52" spans="1:30" ht="14.25" customHeight="1" x14ac:dyDescent="0.3">
      <c r="A52" s="293"/>
      <c r="B52" s="335">
        <v>3</v>
      </c>
      <c r="C52" s="335">
        <v>2027</v>
      </c>
      <c r="D52" s="335">
        <v>7</v>
      </c>
      <c r="E52" s="335">
        <f>SUM(D50:D52)</f>
        <v>15</v>
      </c>
      <c r="F52" s="337">
        <f t="shared" si="27"/>
        <v>1633.5000000000002</v>
      </c>
      <c r="G52" s="337">
        <f t="shared" si="28"/>
        <v>56</v>
      </c>
      <c r="I52" s="335">
        <v>3</v>
      </c>
      <c r="J52" s="335">
        <v>2027</v>
      </c>
      <c r="K52" s="337">
        <f>K51*1.1</f>
        <v>108.90000000000002</v>
      </c>
      <c r="Z52" s="293"/>
      <c r="AA52" s="293"/>
      <c r="AB52" s="293"/>
      <c r="AC52" s="293"/>
      <c r="AD52" s="293"/>
    </row>
    <row r="53" spans="1:30" ht="14.25" customHeight="1" x14ac:dyDescent="0.3">
      <c r="A53" s="293"/>
      <c r="B53" s="335">
        <v>4</v>
      </c>
      <c r="C53" s="335">
        <v>2028</v>
      </c>
      <c r="D53" s="335">
        <v>9</v>
      </c>
      <c r="E53" s="335">
        <f>SUM(D50:D53)</f>
        <v>24</v>
      </c>
      <c r="F53" s="337">
        <f t="shared" si="27"/>
        <v>2874.9600000000009</v>
      </c>
      <c r="G53" s="337">
        <f t="shared" si="28"/>
        <v>72</v>
      </c>
      <c r="I53" s="335">
        <v>4</v>
      </c>
      <c r="J53" s="335">
        <v>2028</v>
      </c>
      <c r="K53" s="337">
        <f>K52*1.1</f>
        <v>119.79000000000003</v>
      </c>
      <c r="Z53" s="293"/>
      <c r="AA53" s="293"/>
      <c r="AB53" s="293"/>
      <c r="AC53" s="293"/>
      <c r="AD53" s="293"/>
    </row>
    <row r="54" spans="1:30" ht="14.25" customHeight="1" x14ac:dyDescent="0.3">
      <c r="A54" s="293"/>
      <c r="B54" s="335">
        <v>5</v>
      </c>
      <c r="C54" s="335">
        <v>2029</v>
      </c>
      <c r="D54" s="335">
        <v>9</v>
      </c>
      <c r="E54" s="335">
        <f>SUM(D50:D54)</f>
        <v>33</v>
      </c>
      <c r="F54" s="337">
        <f t="shared" si="27"/>
        <v>4348.3770000000022</v>
      </c>
      <c r="G54" s="337">
        <f t="shared" si="28"/>
        <v>72</v>
      </c>
      <c r="I54" s="335">
        <v>5</v>
      </c>
      <c r="J54" s="335">
        <v>2029</v>
      </c>
      <c r="K54" s="337">
        <f>K53*1.1</f>
        <v>131.76900000000006</v>
      </c>
      <c r="Z54" s="293"/>
      <c r="AA54" s="293"/>
      <c r="AB54" s="293"/>
      <c r="AC54" s="293"/>
      <c r="AD54" s="293"/>
    </row>
    <row r="55" spans="1:30" ht="14.25" customHeight="1" x14ac:dyDescent="0.3">
      <c r="A55" s="293"/>
      <c r="B55" s="335">
        <v>6</v>
      </c>
      <c r="C55" s="335">
        <v>2030</v>
      </c>
      <c r="D55" s="335">
        <v>9</v>
      </c>
      <c r="E55" s="335">
        <f>SUM(D50:D55)</f>
        <v>42</v>
      </c>
      <c r="F55" s="337">
        <f t="shared" si="27"/>
        <v>5811.0129000000034</v>
      </c>
      <c r="G55" s="337">
        <f t="shared" si="28"/>
        <v>72</v>
      </c>
      <c r="I55" s="335">
        <v>6</v>
      </c>
      <c r="J55" s="335">
        <v>2030</v>
      </c>
      <c r="K55" s="337">
        <f>K54*1.05</f>
        <v>138.35745000000009</v>
      </c>
      <c r="Z55" s="293"/>
      <c r="AA55" s="293"/>
      <c r="AB55" s="293"/>
      <c r="AC55" s="293"/>
      <c r="AD55" s="293"/>
    </row>
    <row r="56" spans="1:30" ht="14.25" customHeight="1" x14ac:dyDescent="0.3">
      <c r="A56" s="293"/>
      <c r="B56" s="335">
        <v>7</v>
      </c>
      <c r="C56" s="335">
        <v>2031</v>
      </c>
      <c r="D56" s="335">
        <v>9</v>
      </c>
      <c r="E56" s="335">
        <f>SUM(D50:D56)</f>
        <v>51</v>
      </c>
      <c r="F56" s="337">
        <f t="shared" si="27"/>
        <v>7409.0414475000052</v>
      </c>
      <c r="G56" s="337">
        <f t="shared" si="28"/>
        <v>72</v>
      </c>
      <c r="I56" s="335">
        <v>7</v>
      </c>
      <c r="J56" s="335">
        <v>2031</v>
      </c>
      <c r="K56" s="337">
        <f>K55*1.05</f>
        <v>145.2753225000001</v>
      </c>
      <c r="Z56" s="293"/>
      <c r="AA56" s="293"/>
      <c r="AB56" s="293"/>
      <c r="AC56" s="293"/>
      <c r="AD56" s="293"/>
    </row>
    <row r="57" spans="1:30" ht="14.25" customHeight="1" x14ac:dyDescent="0.3">
      <c r="A57" s="293"/>
      <c r="B57" s="335">
        <v>8</v>
      </c>
      <c r="C57" s="335">
        <v>2032</v>
      </c>
      <c r="D57" s="335">
        <v>10</v>
      </c>
      <c r="E57" s="335">
        <f>SUM(D50:D57)</f>
        <v>61</v>
      </c>
      <c r="F57" s="337">
        <f t="shared" si="27"/>
        <v>9304.8844061250074</v>
      </c>
      <c r="G57" s="337">
        <f t="shared" si="28"/>
        <v>80</v>
      </c>
      <c r="I57" s="335">
        <v>8</v>
      </c>
      <c r="J57" s="335">
        <v>2032</v>
      </c>
      <c r="K57" s="337">
        <f>K56*1.05</f>
        <v>152.53908862500012</v>
      </c>
      <c r="Z57" s="293"/>
      <c r="AA57" s="293"/>
      <c r="AB57" s="293"/>
      <c r="AC57" s="293"/>
      <c r="AD57" s="293"/>
    </row>
    <row r="58" spans="1:30" ht="14.25" customHeight="1" x14ac:dyDescent="0.3">
      <c r="A58" s="293"/>
      <c r="B58" s="335">
        <v>9</v>
      </c>
      <c r="C58" s="335">
        <v>2033</v>
      </c>
      <c r="D58" s="335">
        <v>10</v>
      </c>
      <c r="E58" s="335">
        <f>SUM(D50:D58)</f>
        <v>71</v>
      </c>
      <c r="F58" s="337">
        <f t="shared" si="27"/>
        <v>11371.789056993759</v>
      </c>
      <c r="G58" s="337">
        <f t="shared" si="28"/>
        <v>80</v>
      </c>
      <c r="I58" s="335">
        <v>9</v>
      </c>
      <c r="J58" s="335">
        <v>2033</v>
      </c>
      <c r="K58" s="337">
        <f>K57*1.05</f>
        <v>160.16604305625012</v>
      </c>
      <c r="Z58" s="293"/>
      <c r="AA58" s="293"/>
      <c r="AB58" s="293"/>
      <c r="AC58" s="293"/>
      <c r="AD58" s="293"/>
    </row>
    <row r="59" spans="1:30" ht="14.25" customHeight="1" x14ac:dyDescent="0.3">
      <c r="A59" s="293"/>
      <c r="B59" s="335">
        <v>10</v>
      </c>
      <c r="C59" s="335">
        <v>2034</v>
      </c>
      <c r="D59" s="335">
        <v>10</v>
      </c>
      <c r="E59" s="335">
        <f>SUM(D50:D59)</f>
        <v>81</v>
      </c>
      <c r="F59" s="337">
        <f t="shared" si="27"/>
        <v>13622.121961934074</v>
      </c>
      <c r="G59" s="337">
        <f t="shared" si="28"/>
        <v>80</v>
      </c>
      <c r="I59" s="335">
        <v>10</v>
      </c>
      <c r="J59" s="335">
        <v>2034</v>
      </c>
      <c r="K59" s="337">
        <f>K58*1.05</f>
        <v>168.17434520906264</v>
      </c>
      <c r="Z59" s="293"/>
      <c r="AA59" s="293"/>
      <c r="AB59" s="293"/>
      <c r="AC59" s="293"/>
      <c r="AD59" s="293"/>
    </row>
    <row r="60" spans="1:30" ht="14.25" customHeight="1" x14ac:dyDescent="0.3">
      <c r="A60" s="293"/>
      <c r="B60" s="340" t="s">
        <v>409</v>
      </c>
      <c r="C60" s="340" t="s">
        <v>8</v>
      </c>
      <c r="D60" s="340">
        <f>SUM(D50:D59)</f>
        <v>81</v>
      </c>
      <c r="E60" s="340">
        <f>D60</f>
        <v>81</v>
      </c>
      <c r="F60" s="360">
        <f>SUM(F50:F59)</f>
        <v>57437.686772552857</v>
      </c>
      <c r="G60" s="340"/>
      <c r="H60" s="290"/>
      <c r="I60" s="340"/>
      <c r="J60" s="340"/>
      <c r="K60" s="360">
        <f>SUM(K50:K59)</f>
        <v>1313.9712493903132</v>
      </c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3"/>
      <c r="AA60" s="293"/>
      <c r="AB60" s="293"/>
      <c r="AC60" s="293"/>
      <c r="AD60" s="293"/>
    </row>
    <row r="61" spans="1:30" ht="14.25" customHeight="1" x14ac:dyDescent="0.3">
      <c r="A61" s="293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  <c r="AC61" s="293"/>
      <c r="AD61" s="293"/>
    </row>
    <row r="62" spans="1:30" ht="14.25" customHeight="1" x14ac:dyDescent="0.3">
      <c r="A62" s="293"/>
      <c r="B62" s="448" t="s">
        <v>410</v>
      </c>
      <c r="C62" s="448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  <c r="AB62" s="293"/>
      <c r="AC62" s="293"/>
      <c r="AD62" s="293"/>
    </row>
    <row r="63" spans="1:30" ht="14.25" customHeight="1" x14ac:dyDescent="0.3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</row>
    <row r="64" spans="1:30" ht="14.25" customHeight="1" x14ac:dyDescent="0.3">
      <c r="A64" s="293"/>
      <c r="B64" s="361" t="s">
        <v>342</v>
      </c>
      <c r="C64" s="361" t="s">
        <v>407</v>
      </c>
      <c r="D64" s="361" t="s">
        <v>411</v>
      </c>
      <c r="E64" s="361" t="s">
        <v>412</v>
      </c>
      <c r="F64" s="361" t="s">
        <v>364</v>
      </c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  <c r="AC64" s="293"/>
      <c r="AD64" s="293"/>
    </row>
    <row r="65" spans="1:30" ht="14.25" customHeight="1" x14ac:dyDescent="0.3">
      <c r="A65" s="293"/>
      <c r="B65" s="362">
        <v>1</v>
      </c>
      <c r="C65" s="362">
        <v>2025</v>
      </c>
      <c r="D65" s="363">
        <v>25</v>
      </c>
      <c r="E65" s="363">
        <f>D65*12/4</f>
        <v>75</v>
      </c>
      <c r="F65" s="364" t="s">
        <v>413</v>
      </c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3"/>
      <c r="AB65" s="293"/>
      <c r="AC65" s="293"/>
      <c r="AD65" s="293"/>
    </row>
    <row r="66" spans="1:30" ht="14.25" customHeight="1" x14ac:dyDescent="0.3">
      <c r="A66" s="293"/>
      <c r="B66" s="362">
        <v>2</v>
      </c>
      <c r="C66" s="362">
        <v>2026</v>
      </c>
      <c r="D66" s="363">
        <f>D65*2</f>
        <v>50</v>
      </c>
      <c r="E66" s="363">
        <f t="shared" ref="E66:E74" si="29">D66*12</f>
        <v>600</v>
      </c>
      <c r="F66" s="364" t="s">
        <v>413</v>
      </c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3"/>
      <c r="AD66" s="293"/>
    </row>
    <row r="67" spans="1:30" ht="14.25" customHeight="1" x14ac:dyDescent="0.3">
      <c r="A67" s="293"/>
      <c r="B67" s="362">
        <v>3</v>
      </c>
      <c r="C67" s="362">
        <v>2027</v>
      </c>
      <c r="D67" s="363">
        <f>D66*2</f>
        <v>100</v>
      </c>
      <c r="E67" s="363">
        <f t="shared" si="29"/>
        <v>1200</v>
      </c>
      <c r="F67" s="364" t="s">
        <v>413</v>
      </c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  <c r="AB67" s="293"/>
      <c r="AC67" s="293"/>
      <c r="AD67" s="293"/>
    </row>
    <row r="68" spans="1:30" ht="14.25" customHeight="1" x14ac:dyDescent="0.3">
      <c r="A68" s="293"/>
      <c r="B68" s="362">
        <v>4</v>
      </c>
      <c r="C68" s="362">
        <v>2028</v>
      </c>
      <c r="D68" s="363">
        <f>D67*1.5</f>
        <v>150</v>
      </c>
      <c r="E68" s="363">
        <f t="shared" si="29"/>
        <v>1800</v>
      </c>
      <c r="F68" s="364" t="s">
        <v>413</v>
      </c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3"/>
      <c r="AC68" s="293"/>
      <c r="AD68" s="293"/>
    </row>
    <row r="69" spans="1:30" ht="14.25" customHeight="1" x14ac:dyDescent="0.3">
      <c r="A69" s="293"/>
      <c r="B69" s="362">
        <v>5</v>
      </c>
      <c r="C69" s="362">
        <v>2029</v>
      </c>
      <c r="D69" s="363">
        <f>D68*1.5</f>
        <v>225</v>
      </c>
      <c r="E69" s="363">
        <f t="shared" si="29"/>
        <v>2700</v>
      </c>
      <c r="F69" s="364" t="s">
        <v>413</v>
      </c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  <c r="AC69" s="293"/>
      <c r="AD69" s="293"/>
    </row>
    <row r="70" spans="1:30" ht="14.25" customHeight="1" x14ac:dyDescent="0.3">
      <c r="A70" s="293"/>
      <c r="B70" s="362">
        <v>6</v>
      </c>
      <c r="C70" s="362">
        <v>2030</v>
      </c>
      <c r="D70" s="363">
        <f>D69*1.25</f>
        <v>281.25</v>
      </c>
      <c r="E70" s="363">
        <f t="shared" si="29"/>
        <v>3375</v>
      </c>
      <c r="F70" s="364" t="s">
        <v>413</v>
      </c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</row>
    <row r="71" spans="1:30" ht="14.25" customHeight="1" x14ac:dyDescent="0.3">
      <c r="A71" s="293"/>
      <c r="B71" s="362">
        <v>7</v>
      </c>
      <c r="C71" s="362">
        <v>2031</v>
      </c>
      <c r="D71" s="363">
        <f>D70*1.25</f>
        <v>351.5625</v>
      </c>
      <c r="E71" s="363">
        <f t="shared" si="29"/>
        <v>4218.75</v>
      </c>
      <c r="F71" s="364" t="s">
        <v>414</v>
      </c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  <c r="AB71" s="293"/>
      <c r="AC71" s="293"/>
      <c r="AD71" s="293"/>
    </row>
    <row r="72" spans="1:30" ht="14.25" customHeight="1" x14ac:dyDescent="0.3">
      <c r="A72" s="293"/>
      <c r="B72" s="362">
        <v>8</v>
      </c>
      <c r="C72" s="362">
        <v>2032</v>
      </c>
      <c r="D72" s="363">
        <f>D71*1.25</f>
        <v>439.453125</v>
      </c>
      <c r="E72" s="363">
        <f t="shared" si="29"/>
        <v>5273.4375</v>
      </c>
      <c r="F72" s="364" t="s">
        <v>414</v>
      </c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  <c r="AB72" s="293"/>
      <c r="AC72" s="293"/>
      <c r="AD72" s="293"/>
    </row>
    <row r="73" spans="1:30" ht="14.25" customHeight="1" x14ac:dyDescent="0.3">
      <c r="A73" s="293"/>
      <c r="B73" s="362">
        <v>9</v>
      </c>
      <c r="C73" s="362">
        <v>2033</v>
      </c>
      <c r="D73" s="363">
        <f>D72*1.25</f>
        <v>549.31640625</v>
      </c>
      <c r="E73" s="363">
        <f t="shared" si="29"/>
        <v>6591.796875</v>
      </c>
      <c r="F73" s="364" t="s">
        <v>414</v>
      </c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  <c r="AB73" s="293"/>
      <c r="AC73" s="293"/>
      <c r="AD73" s="293"/>
    </row>
    <row r="74" spans="1:30" ht="14.25" customHeight="1" x14ac:dyDescent="0.3">
      <c r="A74" s="293"/>
      <c r="B74" s="362">
        <v>10</v>
      </c>
      <c r="C74" s="362">
        <v>2034</v>
      </c>
      <c r="D74" s="363">
        <f>D73*1.25</f>
        <v>686.6455078125</v>
      </c>
      <c r="E74" s="363">
        <f t="shared" si="29"/>
        <v>8239.74609375</v>
      </c>
      <c r="F74" s="364" t="s">
        <v>414</v>
      </c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</row>
    <row r="75" spans="1:30" ht="14.25" customHeight="1" x14ac:dyDescent="0.3">
      <c r="A75" s="293"/>
      <c r="B75" s="365"/>
      <c r="C75" s="365" t="s">
        <v>415</v>
      </c>
      <c r="D75" s="366"/>
      <c r="E75" s="366">
        <f>SUM(E65:E74)</f>
        <v>34073.73046875</v>
      </c>
      <c r="F75" s="367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  <c r="AC75" s="293"/>
      <c r="AD75" s="293"/>
    </row>
    <row r="76" spans="1:30" ht="14.25" customHeight="1" x14ac:dyDescent="0.3">
      <c r="A76" s="293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</row>
    <row r="77" spans="1:30" ht="14.25" customHeight="1" x14ac:dyDescent="0.3">
      <c r="A77" s="293"/>
      <c r="B77" s="448" t="s">
        <v>416</v>
      </c>
      <c r="C77" s="448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</row>
    <row r="78" spans="1:30" ht="14.25" customHeight="1" x14ac:dyDescent="0.3">
      <c r="A78" s="293"/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</row>
    <row r="79" spans="1:30" ht="14.25" customHeight="1" x14ac:dyDescent="0.3">
      <c r="A79" s="293"/>
      <c r="B79" s="445" t="s">
        <v>417</v>
      </c>
      <c r="C79" s="446"/>
      <c r="D79" s="446"/>
      <c r="E79" s="447"/>
      <c r="F79" s="368"/>
      <c r="G79" s="329"/>
      <c r="H79" s="329"/>
      <c r="L79" s="368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  <c r="AC79" s="293"/>
      <c r="AD79" s="293"/>
    </row>
    <row r="80" spans="1:30" ht="14.25" customHeight="1" x14ac:dyDescent="0.3">
      <c r="A80" s="293"/>
      <c r="B80" s="331" t="s">
        <v>342</v>
      </c>
      <c r="C80" s="331" t="s">
        <v>343</v>
      </c>
      <c r="D80" s="332" t="s">
        <v>418</v>
      </c>
      <c r="E80" s="332" t="s">
        <v>361</v>
      </c>
      <c r="F80" s="369"/>
      <c r="G80" s="332" t="s">
        <v>342</v>
      </c>
      <c r="H80" s="332" t="s">
        <v>343</v>
      </c>
      <c r="I80" s="332" t="s">
        <v>419</v>
      </c>
      <c r="J80" s="332" t="s">
        <v>420</v>
      </c>
      <c r="K80" s="332" t="s">
        <v>421</v>
      </c>
      <c r="L80" s="369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</row>
    <row r="81" spans="1:30" ht="14.25" customHeight="1" x14ac:dyDescent="0.3">
      <c r="A81" s="293"/>
      <c r="B81" s="335">
        <v>1</v>
      </c>
      <c r="C81" s="335">
        <v>2025</v>
      </c>
      <c r="D81" s="336">
        <v>15000000</v>
      </c>
      <c r="E81" s="370">
        <f t="shared" ref="E81:E90" si="30">D81/100000</f>
        <v>150</v>
      </c>
      <c r="G81" s="335">
        <v>1</v>
      </c>
      <c r="H81" s="335">
        <v>2025</v>
      </c>
      <c r="I81" s="335">
        <v>1200</v>
      </c>
      <c r="J81" s="344">
        <f t="shared" ref="J81:J90" si="31">D81/I81/1000</f>
        <v>12.5</v>
      </c>
      <c r="K81" s="344">
        <f>J81/3</f>
        <v>4.166666666666667</v>
      </c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  <c r="AB81" s="293"/>
      <c r="AC81" s="293"/>
      <c r="AD81" s="293"/>
    </row>
    <row r="82" spans="1:30" ht="14.25" customHeight="1" x14ac:dyDescent="0.3">
      <c r="A82" s="293"/>
      <c r="B82" s="335">
        <v>2</v>
      </c>
      <c r="C82" s="335">
        <v>2026</v>
      </c>
      <c r="D82" s="336">
        <v>60000000</v>
      </c>
      <c r="E82" s="370">
        <f t="shared" si="30"/>
        <v>600</v>
      </c>
      <c r="G82" s="335">
        <v>2</v>
      </c>
      <c r="H82" s="335">
        <v>2026</v>
      </c>
      <c r="I82" s="335">
        <v>1200</v>
      </c>
      <c r="J82" s="344">
        <f t="shared" si="31"/>
        <v>50</v>
      </c>
      <c r="K82" s="344">
        <f t="shared" ref="K82:K90" si="32">J82/12</f>
        <v>4.166666666666667</v>
      </c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  <c r="AB82" s="293"/>
      <c r="AC82" s="293"/>
      <c r="AD82" s="293"/>
    </row>
    <row r="83" spans="1:30" ht="14.25" customHeight="1" x14ac:dyDescent="0.3">
      <c r="A83" s="293"/>
      <c r="B83" s="335">
        <v>3</v>
      </c>
      <c r="C83" s="335">
        <v>2027</v>
      </c>
      <c r="D83" s="336">
        <f t="shared" ref="D83:D90" si="33">D82*130%</f>
        <v>78000000</v>
      </c>
      <c r="E83" s="370">
        <f t="shared" si="30"/>
        <v>780</v>
      </c>
      <c r="G83" s="335">
        <v>3</v>
      </c>
      <c r="H83" s="335">
        <v>2027</v>
      </c>
      <c r="I83" s="335">
        <v>1200</v>
      </c>
      <c r="J83" s="344">
        <f t="shared" si="31"/>
        <v>65</v>
      </c>
      <c r="K83" s="344">
        <f t="shared" si="32"/>
        <v>5.416666666666667</v>
      </c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</row>
    <row r="84" spans="1:30" ht="14.25" customHeight="1" x14ac:dyDescent="0.3">
      <c r="A84" s="293"/>
      <c r="B84" s="335">
        <v>4</v>
      </c>
      <c r="C84" s="335">
        <v>2028</v>
      </c>
      <c r="D84" s="336">
        <f t="shared" si="33"/>
        <v>101400000</v>
      </c>
      <c r="E84" s="370">
        <f t="shared" si="30"/>
        <v>1014</v>
      </c>
      <c r="G84" s="335">
        <v>4</v>
      </c>
      <c r="H84" s="335">
        <v>2028</v>
      </c>
      <c r="I84" s="335">
        <v>1200</v>
      </c>
      <c r="J84" s="344">
        <f t="shared" si="31"/>
        <v>84.5</v>
      </c>
      <c r="K84" s="344">
        <f t="shared" si="32"/>
        <v>7.041666666666667</v>
      </c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</row>
    <row r="85" spans="1:30" ht="14.25" customHeight="1" x14ac:dyDescent="0.3">
      <c r="A85" s="293"/>
      <c r="B85" s="335">
        <v>5</v>
      </c>
      <c r="C85" s="335">
        <v>2029</v>
      </c>
      <c r="D85" s="336">
        <f t="shared" si="33"/>
        <v>131820000</v>
      </c>
      <c r="E85" s="370">
        <f t="shared" si="30"/>
        <v>1318.2</v>
      </c>
      <c r="G85" s="335">
        <v>5</v>
      </c>
      <c r="H85" s="335">
        <v>2029</v>
      </c>
      <c r="I85" s="335">
        <v>1200</v>
      </c>
      <c r="J85" s="344">
        <f t="shared" si="31"/>
        <v>109.85</v>
      </c>
      <c r="K85" s="344">
        <f t="shared" si="32"/>
        <v>9.1541666666666668</v>
      </c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</row>
    <row r="86" spans="1:30" ht="14.25" customHeight="1" x14ac:dyDescent="0.3">
      <c r="A86" s="293"/>
      <c r="B86" s="335">
        <v>6</v>
      </c>
      <c r="C86" s="335">
        <v>2030</v>
      </c>
      <c r="D86" s="336">
        <f t="shared" si="33"/>
        <v>171366000</v>
      </c>
      <c r="E86" s="370">
        <f t="shared" si="30"/>
        <v>1713.66</v>
      </c>
      <c r="G86" s="335">
        <v>6</v>
      </c>
      <c r="H86" s="335">
        <v>2030</v>
      </c>
      <c r="I86" s="335">
        <v>1200</v>
      </c>
      <c r="J86" s="344">
        <f t="shared" si="31"/>
        <v>142.80500000000001</v>
      </c>
      <c r="K86" s="344">
        <f t="shared" si="32"/>
        <v>11.900416666666667</v>
      </c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  <c r="AB86" s="293"/>
      <c r="AC86" s="293"/>
      <c r="AD86" s="293"/>
    </row>
    <row r="87" spans="1:30" ht="14.25" customHeight="1" x14ac:dyDescent="0.3">
      <c r="A87" s="293"/>
      <c r="B87" s="335">
        <v>7</v>
      </c>
      <c r="C87" s="335">
        <v>2031</v>
      </c>
      <c r="D87" s="336">
        <f t="shared" si="33"/>
        <v>222775800</v>
      </c>
      <c r="E87" s="370">
        <f t="shared" si="30"/>
        <v>2227.7579999999998</v>
      </c>
      <c r="G87" s="335">
        <v>7</v>
      </c>
      <c r="H87" s="335">
        <v>2031</v>
      </c>
      <c r="I87" s="335">
        <v>1200</v>
      </c>
      <c r="J87" s="344">
        <f t="shared" si="31"/>
        <v>185.6465</v>
      </c>
      <c r="K87" s="344">
        <f t="shared" si="32"/>
        <v>15.470541666666668</v>
      </c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  <c r="AC87" s="293"/>
      <c r="AD87" s="293"/>
    </row>
    <row r="88" spans="1:30" ht="14.25" customHeight="1" x14ac:dyDescent="0.3">
      <c r="A88" s="293"/>
      <c r="B88" s="335">
        <v>8</v>
      </c>
      <c r="C88" s="335">
        <v>2032</v>
      </c>
      <c r="D88" s="336">
        <f t="shared" si="33"/>
        <v>289608540</v>
      </c>
      <c r="E88" s="370">
        <f t="shared" si="30"/>
        <v>2896.0853999999999</v>
      </c>
      <c r="G88" s="335">
        <v>8</v>
      </c>
      <c r="H88" s="335">
        <v>2032</v>
      </c>
      <c r="I88" s="335">
        <v>1200</v>
      </c>
      <c r="J88" s="344">
        <f t="shared" si="31"/>
        <v>241.34045</v>
      </c>
      <c r="K88" s="344">
        <f t="shared" si="32"/>
        <v>20.111704166666666</v>
      </c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  <c r="AB88" s="293"/>
      <c r="AC88" s="293"/>
      <c r="AD88" s="293"/>
    </row>
    <row r="89" spans="1:30" ht="14.25" customHeight="1" x14ac:dyDescent="0.3">
      <c r="A89" s="293"/>
      <c r="B89" s="335">
        <v>9</v>
      </c>
      <c r="C89" s="335">
        <v>2033</v>
      </c>
      <c r="D89" s="336">
        <f t="shared" si="33"/>
        <v>376491102</v>
      </c>
      <c r="E89" s="370">
        <f t="shared" si="30"/>
        <v>3764.91102</v>
      </c>
      <c r="G89" s="335">
        <v>9</v>
      </c>
      <c r="H89" s="335">
        <v>2033</v>
      </c>
      <c r="I89" s="335">
        <v>1200</v>
      </c>
      <c r="J89" s="344">
        <f t="shared" si="31"/>
        <v>313.74258500000002</v>
      </c>
      <c r="K89" s="344">
        <f t="shared" si="32"/>
        <v>26.145215416666669</v>
      </c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  <c r="AC89" s="293"/>
      <c r="AD89" s="293"/>
    </row>
    <row r="90" spans="1:30" ht="14.25" customHeight="1" x14ac:dyDescent="0.3">
      <c r="A90" s="293"/>
      <c r="B90" s="335">
        <v>10</v>
      </c>
      <c r="C90" s="335">
        <v>2034</v>
      </c>
      <c r="D90" s="336">
        <f t="shared" si="33"/>
        <v>489438432.60000002</v>
      </c>
      <c r="E90" s="370">
        <f t="shared" si="30"/>
        <v>4894.3843260000003</v>
      </c>
      <c r="G90" s="335">
        <v>10</v>
      </c>
      <c r="H90" s="335">
        <v>2034</v>
      </c>
      <c r="I90" s="335">
        <v>1200</v>
      </c>
      <c r="J90" s="344">
        <f t="shared" si="31"/>
        <v>407.86536050000001</v>
      </c>
      <c r="K90" s="344">
        <f t="shared" si="32"/>
        <v>33.988780041666665</v>
      </c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  <c r="AB90" s="293"/>
      <c r="AC90" s="293"/>
      <c r="AD90" s="293"/>
    </row>
    <row r="91" spans="1:30" ht="14.25" customHeight="1" x14ac:dyDescent="0.3">
      <c r="A91" s="293"/>
      <c r="B91" s="340"/>
      <c r="C91" s="340" t="s">
        <v>415</v>
      </c>
      <c r="D91" s="345"/>
      <c r="E91" s="371">
        <f>SUM(E81:E90)</f>
        <v>19358.998745999997</v>
      </c>
      <c r="G91" s="340"/>
      <c r="H91" s="340" t="s">
        <v>415</v>
      </c>
      <c r="I91" s="345"/>
      <c r="J91" s="372">
        <f>SUM(J81:J90)</f>
        <v>1613.2498955000001</v>
      </c>
      <c r="K91" s="372">
        <f>SUM(K81:K90)</f>
        <v>137.56249129166667</v>
      </c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D91" s="293"/>
    </row>
    <row r="92" spans="1:30" ht="14.25" customHeight="1" x14ac:dyDescent="0.3">
      <c r="A92" s="293"/>
      <c r="B92" s="329"/>
      <c r="C92" s="329"/>
      <c r="G92" s="329"/>
      <c r="H92" s="329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D92" s="293"/>
    </row>
    <row r="93" spans="1:30" ht="14.25" customHeight="1" x14ac:dyDescent="0.3">
      <c r="A93" s="293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  <c r="AC93" s="293"/>
      <c r="AD93" s="293"/>
    </row>
    <row r="94" spans="1:30" ht="14.25" customHeight="1" x14ac:dyDescent="0.3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  <c r="AB94" s="293"/>
      <c r="AC94" s="293"/>
      <c r="AD94" s="293"/>
    </row>
    <row r="95" spans="1:30" ht="14.25" customHeight="1" x14ac:dyDescent="0.3">
      <c r="A95" s="293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  <c r="AB95" s="293"/>
      <c r="AC95" s="293"/>
      <c r="AD95" s="293"/>
    </row>
    <row r="96" spans="1:30" ht="14.25" customHeight="1" x14ac:dyDescent="0.3">
      <c r="A96" s="293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</row>
    <row r="97" spans="1:30" ht="14.25" customHeight="1" x14ac:dyDescent="0.3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</row>
    <row r="98" spans="1:30" ht="14.25" customHeight="1" x14ac:dyDescent="0.3">
      <c r="A98" s="293"/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  <c r="AC98" s="293"/>
      <c r="AD98" s="293"/>
    </row>
    <row r="99" spans="1:30" ht="14.25" customHeight="1" x14ac:dyDescent="0.3">
      <c r="A99" s="293"/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</row>
    <row r="100" spans="1:30" ht="14.25" customHeight="1" x14ac:dyDescent="0.3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</row>
    <row r="101" spans="1:30" ht="14.25" customHeight="1" x14ac:dyDescent="0.3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  <c r="AC101" s="293"/>
      <c r="AD101" s="293"/>
    </row>
    <row r="102" spans="1:30" ht="14.25" customHeight="1" x14ac:dyDescent="0.3">
      <c r="A102" s="293"/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</row>
    <row r="103" spans="1:30" ht="14.25" customHeight="1" x14ac:dyDescent="0.3">
      <c r="A103" s="293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</row>
    <row r="104" spans="1:30" ht="14.25" customHeight="1" x14ac:dyDescent="0.3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</row>
    <row r="105" spans="1:30" ht="14.25" customHeight="1" x14ac:dyDescent="0.3">
      <c r="A105" s="293"/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</row>
    <row r="106" spans="1:30" ht="14.25" customHeight="1" x14ac:dyDescent="0.3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  <c r="AC106" s="293"/>
      <c r="AD106" s="293"/>
    </row>
    <row r="107" spans="1:30" ht="14.25" customHeight="1" x14ac:dyDescent="0.3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  <c r="AC107" s="293"/>
      <c r="AD107" s="293"/>
    </row>
    <row r="108" spans="1:30" ht="14.25" customHeight="1" x14ac:dyDescent="0.3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  <c r="AC108" s="293"/>
      <c r="AD108" s="293"/>
    </row>
    <row r="109" spans="1:30" ht="14.25" customHeight="1" x14ac:dyDescent="0.3">
      <c r="A109" s="293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</row>
    <row r="110" spans="1:30" ht="14.25" customHeight="1" x14ac:dyDescent="0.3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  <c r="AA110" s="293"/>
      <c r="AB110" s="293"/>
      <c r="AC110" s="293"/>
      <c r="AD110" s="293"/>
    </row>
    <row r="111" spans="1:30" ht="14.25" customHeight="1" x14ac:dyDescent="0.3">
      <c r="A111" s="293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93"/>
      <c r="AB111" s="293"/>
      <c r="AC111" s="293"/>
      <c r="AD111" s="293"/>
    </row>
    <row r="112" spans="1:30" ht="14.25" customHeight="1" x14ac:dyDescent="0.3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93"/>
      <c r="AB112" s="293"/>
      <c r="AC112" s="293"/>
      <c r="AD112" s="293"/>
    </row>
    <row r="113" spans="1:30" ht="14.25" customHeight="1" x14ac:dyDescent="0.3">
      <c r="A113" s="293"/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93"/>
      <c r="AB113" s="293"/>
      <c r="AC113" s="293"/>
      <c r="AD113" s="293"/>
    </row>
    <row r="114" spans="1:30" ht="14.25" customHeight="1" x14ac:dyDescent="0.3">
      <c r="A114" s="293"/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93"/>
      <c r="AB114" s="293"/>
      <c r="AC114" s="293"/>
      <c r="AD114" s="293"/>
    </row>
    <row r="115" spans="1:30" ht="14.25" customHeight="1" x14ac:dyDescent="0.3">
      <c r="A115" s="293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  <c r="AC115" s="293"/>
      <c r="AD115" s="293"/>
    </row>
    <row r="116" spans="1:30" ht="14.25" customHeight="1" x14ac:dyDescent="0.3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  <c r="AA116" s="293"/>
      <c r="AB116" s="293"/>
      <c r="AC116" s="293"/>
      <c r="AD116" s="293"/>
    </row>
    <row r="117" spans="1:30" ht="14.25" customHeight="1" x14ac:dyDescent="0.3">
      <c r="A117" s="293"/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93"/>
      <c r="AB117" s="293"/>
      <c r="AC117" s="293"/>
      <c r="AD117" s="293"/>
    </row>
    <row r="118" spans="1:30" ht="14.25" customHeight="1" x14ac:dyDescent="0.3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93"/>
      <c r="AB118" s="293"/>
      <c r="AC118" s="293"/>
      <c r="AD118" s="293"/>
    </row>
    <row r="119" spans="1:30" ht="14.25" customHeight="1" x14ac:dyDescent="0.3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  <c r="Y119" s="293"/>
      <c r="Z119" s="293"/>
      <c r="AA119" s="293"/>
      <c r="AB119" s="293"/>
      <c r="AC119" s="293"/>
      <c r="AD119" s="293"/>
    </row>
    <row r="120" spans="1:30" ht="14.25" customHeight="1" x14ac:dyDescent="0.3">
      <c r="A120" s="293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93"/>
      <c r="AB120" s="293"/>
      <c r="AC120" s="293"/>
      <c r="AD120" s="293"/>
    </row>
    <row r="121" spans="1:30" ht="14.25" customHeight="1" x14ac:dyDescent="0.3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3"/>
      <c r="P121" s="293"/>
      <c r="Q121" s="293"/>
      <c r="R121" s="293"/>
      <c r="S121" s="293"/>
      <c r="T121" s="293"/>
      <c r="U121" s="293"/>
      <c r="V121" s="293"/>
      <c r="W121" s="293"/>
      <c r="X121" s="293"/>
      <c r="Y121" s="293"/>
      <c r="Z121" s="293"/>
      <c r="AA121" s="293"/>
      <c r="AB121" s="293"/>
      <c r="AC121" s="293"/>
      <c r="AD121" s="293"/>
    </row>
    <row r="122" spans="1:30" ht="14.25" customHeight="1" x14ac:dyDescent="0.3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93"/>
      <c r="AB122" s="293"/>
      <c r="AC122" s="293"/>
      <c r="AD122" s="293"/>
    </row>
    <row r="123" spans="1:30" ht="14.25" customHeight="1" x14ac:dyDescent="0.3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93"/>
      <c r="AB123" s="293"/>
      <c r="AC123" s="293"/>
      <c r="AD123" s="293"/>
    </row>
    <row r="124" spans="1:30" ht="14.25" customHeight="1" x14ac:dyDescent="0.3">
      <c r="A124" s="293"/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93"/>
      <c r="AB124" s="293"/>
      <c r="AC124" s="293"/>
      <c r="AD124" s="293"/>
    </row>
    <row r="125" spans="1:30" ht="14.25" customHeight="1" x14ac:dyDescent="0.3">
      <c r="A125" s="293"/>
      <c r="B125" s="293"/>
      <c r="C125" s="293"/>
      <c r="D125" s="293"/>
      <c r="E125" s="293"/>
      <c r="F125" s="293"/>
      <c r="G125" s="293"/>
      <c r="H125" s="293"/>
      <c r="I125" s="293"/>
      <c r="J125" s="293"/>
      <c r="K125" s="293"/>
      <c r="L125" s="293"/>
      <c r="M125" s="293"/>
      <c r="N125" s="293"/>
      <c r="O125" s="293"/>
      <c r="P125" s="293"/>
      <c r="Q125" s="293"/>
      <c r="R125" s="293"/>
      <c r="S125" s="293"/>
      <c r="T125" s="293"/>
      <c r="U125" s="293"/>
      <c r="V125" s="293"/>
      <c r="W125" s="293"/>
      <c r="X125" s="293"/>
      <c r="Y125" s="293"/>
      <c r="Z125" s="293"/>
      <c r="AA125" s="293"/>
      <c r="AB125" s="293"/>
      <c r="AC125" s="293"/>
      <c r="AD125" s="293"/>
    </row>
    <row r="126" spans="1:30" ht="14.25" customHeight="1" x14ac:dyDescent="0.3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293"/>
      <c r="Y126" s="293"/>
      <c r="Z126" s="293"/>
      <c r="AA126" s="293"/>
      <c r="AB126" s="293"/>
      <c r="AC126" s="293"/>
      <c r="AD126" s="293"/>
    </row>
    <row r="127" spans="1:30" ht="14.25" customHeight="1" x14ac:dyDescent="0.3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3"/>
      <c r="P127" s="293"/>
      <c r="Q127" s="293"/>
      <c r="R127" s="293"/>
      <c r="S127" s="293"/>
      <c r="T127" s="293"/>
      <c r="U127" s="293"/>
      <c r="V127" s="293"/>
      <c r="W127" s="293"/>
      <c r="X127" s="293"/>
      <c r="Y127" s="293"/>
      <c r="Z127" s="293"/>
      <c r="AA127" s="293"/>
      <c r="AB127" s="293"/>
      <c r="AC127" s="293"/>
      <c r="AD127" s="293"/>
    </row>
    <row r="128" spans="1:30" ht="14.25" customHeight="1" x14ac:dyDescent="0.3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93"/>
      <c r="AB128" s="293"/>
      <c r="AC128" s="293"/>
      <c r="AD128" s="293"/>
    </row>
    <row r="129" spans="1:30" ht="14.25" customHeight="1" x14ac:dyDescent="0.3">
      <c r="A129" s="293"/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93"/>
      <c r="AB129" s="293"/>
      <c r="AC129" s="293"/>
      <c r="AD129" s="293"/>
    </row>
    <row r="130" spans="1:30" ht="14.25" customHeight="1" x14ac:dyDescent="0.3">
      <c r="A130" s="293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293"/>
      <c r="Y130" s="293"/>
      <c r="Z130" s="293"/>
      <c r="AA130" s="293"/>
      <c r="AB130" s="293"/>
      <c r="AC130" s="293"/>
      <c r="AD130" s="293"/>
    </row>
    <row r="131" spans="1:30" ht="14.25" customHeight="1" x14ac:dyDescent="0.3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3"/>
      <c r="X131" s="293"/>
      <c r="Y131" s="293"/>
      <c r="Z131" s="293"/>
      <c r="AA131" s="293"/>
      <c r="AB131" s="293"/>
      <c r="AC131" s="293"/>
      <c r="AD131" s="293"/>
    </row>
    <row r="132" spans="1:30" ht="14.25" customHeight="1" x14ac:dyDescent="0.3">
      <c r="A132" s="293"/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93"/>
      <c r="AB132" s="293"/>
      <c r="AC132" s="293"/>
      <c r="AD132" s="293"/>
    </row>
    <row r="133" spans="1:30" ht="14.25" customHeight="1" x14ac:dyDescent="0.3">
      <c r="A133" s="293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93"/>
      <c r="AB133" s="293"/>
      <c r="AC133" s="293"/>
      <c r="AD133" s="293"/>
    </row>
    <row r="134" spans="1:30" ht="14.25" customHeight="1" x14ac:dyDescent="0.3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3"/>
      <c r="P134" s="293"/>
      <c r="Q134" s="293"/>
      <c r="R134" s="293"/>
      <c r="S134" s="293"/>
      <c r="T134" s="293"/>
      <c r="U134" s="293"/>
      <c r="V134" s="293"/>
      <c r="W134" s="293"/>
      <c r="X134" s="293"/>
      <c r="Y134" s="293"/>
      <c r="Z134" s="293"/>
      <c r="AA134" s="293"/>
      <c r="AB134" s="293"/>
      <c r="AC134" s="293"/>
      <c r="AD134" s="293"/>
    </row>
    <row r="135" spans="1:30" ht="14.25" customHeight="1" x14ac:dyDescent="0.3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</row>
    <row r="136" spans="1:30" ht="14.25" customHeight="1" x14ac:dyDescent="0.3">
      <c r="A136" s="293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93"/>
      <c r="AB136" s="293"/>
      <c r="AC136" s="293"/>
      <c r="AD136" s="293"/>
    </row>
    <row r="137" spans="1:30" ht="14.25" customHeight="1" x14ac:dyDescent="0.3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3"/>
      <c r="P137" s="293"/>
      <c r="Q137" s="293"/>
      <c r="R137" s="293"/>
      <c r="S137" s="293"/>
      <c r="T137" s="293"/>
      <c r="U137" s="293"/>
      <c r="V137" s="293"/>
      <c r="W137" s="293"/>
      <c r="X137" s="293"/>
      <c r="Y137" s="293"/>
      <c r="Z137" s="293"/>
      <c r="AA137" s="293"/>
      <c r="AB137" s="293"/>
      <c r="AC137" s="293"/>
      <c r="AD137" s="293"/>
    </row>
    <row r="138" spans="1:30" ht="14.25" customHeight="1" x14ac:dyDescent="0.3">
      <c r="A138" s="293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93"/>
      <c r="AB138" s="293"/>
      <c r="AC138" s="293"/>
      <c r="AD138" s="293"/>
    </row>
    <row r="139" spans="1:30" ht="14.25" customHeight="1" x14ac:dyDescent="0.3">
      <c r="A139" s="293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93"/>
      <c r="AB139" s="293"/>
      <c r="AC139" s="293"/>
      <c r="AD139" s="293"/>
    </row>
    <row r="140" spans="1:30" ht="14.25" customHeight="1" x14ac:dyDescent="0.3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  <c r="Y140" s="293"/>
      <c r="Z140" s="293"/>
      <c r="AA140" s="293"/>
      <c r="AB140" s="293"/>
      <c r="AC140" s="293"/>
      <c r="AD140" s="293"/>
    </row>
    <row r="141" spans="1:30" ht="14.25" customHeight="1" x14ac:dyDescent="0.3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93"/>
      <c r="AB141" s="293"/>
      <c r="AC141" s="293"/>
      <c r="AD141" s="293"/>
    </row>
    <row r="142" spans="1:30" ht="14.25" customHeight="1" x14ac:dyDescent="0.3">
      <c r="A142" s="293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93"/>
      <c r="AB142" s="293"/>
      <c r="AC142" s="293"/>
      <c r="AD142" s="293"/>
    </row>
    <row r="143" spans="1:30" ht="14.25" customHeight="1" x14ac:dyDescent="0.3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93"/>
      <c r="AB143" s="293"/>
      <c r="AC143" s="293"/>
      <c r="AD143" s="293"/>
    </row>
    <row r="144" spans="1:30" ht="14.25" customHeight="1" x14ac:dyDescent="0.3">
      <c r="A144" s="293"/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93"/>
      <c r="AB144" s="293"/>
      <c r="AC144" s="293"/>
      <c r="AD144" s="293"/>
    </row>
    <row r="145" spans="1:30" ht="14.25" customHeight="1" x14ac:dyDescent="0.3">
      <c r="A145" s="293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93"/>
      <c r="AB145" s="293"/>
      <c r="AC145" s="293"/>
      <c r="AD145" s="293"/>
    </row>
    <row r="146" spans="1:30" ht="14.25" customHeight="1" x14ac:dyDescent="0.3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  <c r="Y146" s="293"/>
      <c r="Z146" s="293"/>
      <c r="AA146" s="293"/>
      <c r="AB146" s="293"/>
      <c r="AC146" s="293"/>
      <c r="AD146" s="293"/>
    </row>
    <row r="147" spans="1:30" ht="14.25" customHeight="1" x14ac:dyDescent="0.3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  <c r="AC147" s="293"/>
      <c r="AD147" s="293"/>
    </row>
    <row r="148" spans="1:30" ht="14.25" customHeight="1" x14ac:dyDescent="0.3">
      <c r="A148" s="293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93"/>
      <c r="AB148" s="293"/>
      <c r="AC148" s="293"/>
      <c r="AD148" s="293"/>
    </row>
    <row r="149" spans="1:30" ht="14.25" customHeight="1" x14ac:dyDescent="0.3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93"/>
      <c r="AB149" s="293"/>
      <c r="AC149" s="293"/>
      <c r="AD149" s="293"/>
    </row>
    <row r="150" spans="1:30" ht="14.25" customHeight="1" x14ac:dyDescent="0.3">
      <c r="A150" s="293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93"/>
      <c r="AB150" s="293"/>
      <c r="AC150" s="293"/>
      <c r="AD150" s="293"/>
    </row>
    <row r="151" spans="1:30" ht="14.25" customHeight="1" x14ac:dyDescent="0.3">
      <c r="A151" s="293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93"/>
      <c r="AB151" s="293"/>
      <c r="AC151" s="293"/>
      <c r="AD151" s="293"/>
    </row>
    <row r="152" spans="1:30" ht="14.25" customHeight="1" x14ac:dyDescent="0.3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93"/>
      <c r="AB152" s="293"/>
      <c r="AC152" s="293"/>
      <c r="AD152" s="293"/>
    </row>
    <row r="153" spans="1:30" ht="14.25" customHeight="1" x14ac:dyDescent="0.3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93"/>
      <c r="AB153" s="293"/>
      <c r="AC153" s="293"/>
      <c r="AD153" s="293"/>
    </row>
    <row r="154" spans="1:30" ht="14.25" customHeight="1" x14ac:dyDescent="0.3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93"/>
      <c r="AB154" s="293"/>
      <c r="AC154" s="293"/>
      <c r="AD154" s="293"/>
    </row>
    <row r="155" spans="1:30" ht="14.25" customHeight="1" x14ac:dyDescent="0.3">
      <c r="A155" s="293"/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93"/>
      <c r="AB155" s="293"/>
      <c r="AC155" s="293"/>
      <c r="AD155" s="293"/>
    </row>
    <row r="156" spans="1:30" ht="14.25" customHeight="1" x14ac:dyDescent="0.3">
      <c r="A156" s="293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93"/>
      <c r="AB156" s="293"/>
      <c r="AC156" s="293"/>
      <c r="AD156" s="293"/>
    </row>
    <row r="157" spans="1:30" ht="14.25" customHeight="1" x14ac:dyDescent="0.3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3"/>
      <c r="P157" s="293"/>
      <c r="Q157" s="293"/>
      <c r="R157" s="293"/>
      <c r="S157" s="293"/>
      <c r="T157" s="293"/>
      <c r="U157" s="293"/>
      <c r="V157" s="293"/>
      <c r="W157" s="293"/>
      <c r="X157" s="293"/>
      <c r="Y157" s="293"/>
      <c r="Z157" s="293"/>
      <c r="AA157" s="293"/>
      <c r="AB157" s="293"/>
      <c r="AC157" s="293"/>
      <c r="AD157" s="293"/>
    </row>
    <row r="158" spans="1:30" ht="14.25" customHeight="1" x14ac:dyDescent="0.3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</row>
    <row r="159" spans="1:30" ht="14.25" customHeight="1" x14ac:dyDescent="0.3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93"/>
      <c r="AB159" s="293"/>
      <c r="AC159" s="293"/>
      <c r="AD159" s="293"/>
    </row>
    <row r="160" spans="1:30" ht="14.25" customHeight="1" x14ac:dyDescent="0.3">
      <c r="A160" s="293"/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93"/>
      <c r="AB160" s="293"/>
      <c r="AC160" s="293"/>
      <c r="AD160" s="293"/>
    </row>
    <row r="161" spans="1:30" ht="14.25" customHeight="1" x14ac:dyDescent="0.3">
      <c r="A161" s="293"/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93"/>
      <c r="AB161" s="293"/>
      <c r="AC161" s="293"/>
      <c r="AD161" s="293"/>
    </row>
    <row r="162" spans="1:30" ht="14.25" customHeight="1" x14ac:dyDescent="0.3">
      <c r="A162" s="293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3"/>
      <c r="P162" s="293"/>
      <c r="Q162" s="293"/>
      <c r="R162" s="293"/>
      <c r="S162" s="293"/>
      <c r="T162" s="293"/>
      <c r="U162" s="293"/>
      <c r="V162" s="293"/>
      <c r="W162" s="293"/>
      <c r="X162" s="293"/>
      <c r="Y162" s="293"/>
      <c r="Z162" s="293"/>
      <c r="AA162" s="293"/>
      <c r="AB162" s="293"/>
      <c r="AC162" s="293"/>
      <c r="AD162" s="293"/>
    </row>
    <row r="163" spans="1:30" ht="14.25" customHeight="1" x14ac:dyDescent="0.3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93"/>
      <c r="AB163" s="293"/>
      <c r="AC163" s="293"/>
      <c r="AD163" s="293"/>
    </row>
    <row r="164" spans="1:30" ht="14.25" customHeight="1" x14ac:dyDescent="0.3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93"/>
      <c r="AB164" s="293"/>
      <c r="AC164" s="293"/>
      <c r="AD164" s="293"/>
    </row>
    <row r="165" spans="1:30" ht="14.25" customHeight="1" x14ac:dyDescent="0.3">
      <c r="A165" s="293"/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93"/>
      <c r="AB165" s="293"/>
      <c r="AC165" s="293"/>
      <c r="AD165" s="293"/>
    </row>
    <row r="166" spans="1:30" ht="14.25" customHeight="1" x14ac:dyDescent="0.3">
      <c r="A166" s="293"/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93"/>
      <c r="AB166" s="293"/>
      <c r="AC166" s="293"/>
      <c r="AD166" s="293"/>
    </row>
    <row r="167" spans="1:30" ht="14.25" customHeight="1" x14ac:dyDescent="0.3">
      <c r="A167" s="293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293"/>
      <c r="P167" s="293"/>
      <c r="Q167" s="293"/>
      <c r="R167" s="293"/>
      <c r="S167" s="293"/>
      <c r="T167" s="293"/>
      <c r="U167" s="293"/>
      <c r="V167" s="293"/>
      <c r="W167" s="293"/>
      <c r="X167" s="293"/>
      <c r="Y167" s="293"/>
      <c r="Z167" s="293"/>
      <c r="AA167" s="293"/>
      <c r="AB167" s="293"/>
      <c r="AC167" s="293"/>
      <c r="AD167" s="293"/>
    </row>
    <row r="168" spans="1:30" ht="14.25" customHeight="1" x14ac:dyDescent="0.3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3"/>
      <c r="P168" s="293"/>
      <c r="Q168" s="293"/>
      <c r="R168" s="293"/>
      <c r="S168" s="293"/>
      <c r="T168" s="293"/>
      <c r="U168" s="293"/>
      <c r="V168" s="293"/>
      <c r="W168" s="293"/>
      <c r="X168" s="293"/>
      <c r="Y168" s="293"/>
      <c r="Z168" s="293"/>
      <c r="AA168" s="293"/>
      <c r="AB168" s="293"/>
      <c r="AC168" s="293"/>
      <c r="AD168" s="293"/>
    </row>
    <row r="169" spans="1:30" ht="14.25" customHeight="1" x14ac:dyDescent="0.3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93"/>
      <c r="AB169" s="293"/>
      <c r="AC169" s="293"/>
      <c r="AD169" s="293"/>
    </row>
    <row r="170" spans="1:30" ht="14.25" customHeight="1" x14ac:dyDescent="0.3">
      <c r="A170" s="293"/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93"/>
      <c r="AB170" s="293"/>
      <c r="AC170" s="293"/>
      <c r="AD170" s="293"/>
    </row>
    <row r="171" spans="1:30" ht="14.25" customHeight="1" x14ac:dyDescent="0.3">
      <c r="A171" s="293"/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93"/>
      <c r="AB171" s="293"/>
      <c r="AC171" s="293"/>
      <c r="AD171" s="293"/>
    </row>
    <row r="172" spans="1:30" ht="14.25" customHeight="1" x14ac:dyDescent="0.3">
      <c r="A172" s="293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93"/>
      <c r="AB172" s="293"/>
      <c r="AC172" s="293"/>
      <c r="AD172" s="293"/>
    </row>
    <row r="173" spans="1:30" ht="14.25" customHeight="1" x14ac:dyDescent="0.3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3"/>
      <c r="P173" s="293"/>
      <c r="Q173" s="293"/>
      <c r="R173" s="293"/>
      <c r="S173" s="293"/>
      <c r="T173" s="293"/>
      <c r="U173" s="293"/>
      <c r="V173" s="293"/>
      <c r="W173" s="293"/>
      <c r="X173" s="293"/>
      <c r="Y173" s="293"/>
      <c r="Z173" s="293"/>
      <c r="AA173" s="293"/>
      <c r="AB173" s="293"/>
      <c r="AC173" s="293"/>
      <c r="AD173" s="293"/>
    </row>
    <row r="174" spans="1:30" ht="14.25" customHeight="1" x14ac:dyDescent="0.3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93"/>
      <c r="AB174" s="293"/>
      <c r="AC174" s="293"/>
      <c r="AD174" s="293"/>
    </row>
    <row r="175" spans="1:30" ht="14.25" customHeight="1" x14ac:dyDescent="0.3">
      <c r="A175" s="293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93"/>
      <c r="AB175" s="293"/>
      <c r="AC175" s="293"/>
      <c r="AD175" s="293"/>
    </row>
    <row r="176" spans="1:30" ht="14.25" customHeight="1" x14ac:dyDescent="0.3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93"/>
      <c r="AB176" s="293"/>
      <c r="AC176" s="293"/>
      <c r="AD176" s="293"/>
    </row>
    <row r="177" spans="1:30" ht="14.25" customHeight="1" x14ac:dyDescent="0.3">
      <c r="A177" s="293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93"/>
      <c r="AB177" s="293"/>
      <c r="AC177" s="293"/>
      <c r="AD177" s="293"/>
    </row>
    <row r="178" spans="1:30" ht="14.25" customHeight="1" x14ac:dyDescent="0.3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93"/>
      <c r="AB178" s="293"/>
      <c r="AC178" s="293"/>
      <c r="AD178" s="293"/>
    </row>
    <row r="179" spans="1:30" ht="14.25" customHeight="1" x14ac:dyDescent="0.3">
      <c r="A179" s="293"/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93"/>
      <c r="AB179" s="293"/>
      <c r="AC179" s="293"/>
      <c r="AD179" s="293"/>
    </row>
    <row r="180" spans="1:30" ht="14.25" customHeight="1" x14ac:dyDescent="0.3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93"/>
      <c r="AB180" s="293"/>
      <c r="AC180" s="293"/>
      <c r="AD180" s="293"/>
    </row>
    <row r="181" spans="1:30" ht="14.25" customHeight="1" x14ac:dyDescent="0.3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</row>
    <row r="182" spans="1:30" ht="14.25" customHeight="1" x14ac:dyDescent="0.3">
      <c r="A182" s="293"/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93"/>
      <c r="AB182" s="293"/>
      <c r="AC182" s="293"/>
      <c r="AD182" s="293"/>
    </row>
    <row r="183" spans="1:30" ht="14.25" customHeight="1" x14ac:dyDescent="0.3">
      <c r="A183" s="293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93"/>
      <c r="AB183" s="293"/>
      <c r="AC183" s="293"/>
      <c r="AD183" s="293"/>
    </row>
    <row r="184" spans="1:30" ht="14.25" customHeight="1" x14ac:dyDescent="0.3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3"/>
      <c r="P184" s="293"/>
      <c r="Q184" s="293"/>
      <c r="R184" s="293"/>
      <c r="S184" s="293"/>
      <c r="T184" s="293"/>
      <c r="U184" s="293"/>
      <c r="V184" s="293"/>
      <c r="W184" s="293"/>
      <c r="X184" s="293"/>
      <c r="Y184" s="293"/>
      <c r="Z184" s="293"/>
      <c r="AA184" s="293"/>
      <c r="AB184" s="293"/>
      <c r="AC184" s="293"/>
      <c r="AD184" s="293"/>
    </row>
    <row r="185" spans="1:30" ht="14.25" customHeight="1" x14ac:dyDescent="0.3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93"/>
      <c r="AB185" s="293"/>
      <c r="AC185" s="293"/>
      <c r="AD185" s="293"/>
    </row>
    <row r="186" spans="1:30" ht="14.25" customHeight="1" x14ac:dyDescent="0.3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93"/>
      <c r="AB186" s="293"/>
      <c r="AC186" s="293"/>
      <c r="AD186" s="293"/>
    </row>
    <row r="187" spans="1:30" ht="14.25" customHeight="1" x14ac:dyDescent="0.3">
      <c r="A187" s="293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  <c r="AA187" s="293"/>
      <c r="AB187" s="293"/>
      <c r="AC187" s="293"/>
      <c r="AD187" s="293"/>
    </row>
    <row r="188" spans="1:30" ht="14.25" customHeight="1" x14ac:dyDescent="0.3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93"/>
      <c r="AB188" s="293"/>
      <c r="AC188" s="293"/>
      <c r="AD188" s="293"/>
    </row>
    <row r="189" spans="1:30" ht="14.25" customHeight="1" x14ac:dyDescent="0.3">
      <c r="A189" s="293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93"/>
      <c r="AB189" s="293"/>
      <c r="AC189" s="293"/>
      <c r="AD189" s="293"/>
    </row>
    <row r="190" spans="1:30" ht="14.25" customHeight="1" x14ac:dyDescent="0.3">
      <c r="A190" s="293"/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93"/>
      <c r="AB190" s="293"/>
      <c r="AC190" s="293"/>
      <c r="AD190" s="293"/>
    </row>
    <row r="191" spans="1:30" ht="14.25" customHeight="1" x14ac:dyDescent="0.3">
      <c r="A191" s="293"/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93"/>
      <c r="AB191" s="293"/>
      <c r="AC191" s="293"/>
      <c r="AD191" s="293"/>
    </row>
    <row r="192" spans="1:30" ht="14.25" customHeight="1" x14ac:dyDescent="0.3">
      <c r="A192" s="293"/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93"/>
      <c r="AB192" s="293"/>
      <c r="AC192" s="293"/>
      <c r="AD192" s="293"/>
    </row>
    <row r="193" spans="1:30" ht="14.25" customHeight="1" x14ac:dyDescent="0.3">
      <c r="A193" s="293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  <c r="Y193" s="293"/>
      <c r="Z193" s="293"/>
      <c r="AA193" s="293"/>
      <c r="AB193" s="293"/>
      <c r="AC193" s="293"/>
      <c r="AD193" s="293"/>
    </row>
    <row r="194" spans="1:30" ht="14.25" customHeight="1" x14ac:dyDescent="0.3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3"/>
      <c r="P194" s="293"/>
      <c r="Q194" s="293"/>
      <c r="R194" s="293"/>
      <c r="S194" s="293"/>
      <c r="T194" s="293"/>
      <c r="U194" s="293"/>
      <c r="V194" s="293"/>
      <c r="W194" s="293"/>
      <c r="X194" s="293"/>
      <c r="Y194" s="293"/>
      <c r="Z194" s="293"/>
      <c r="AA194" s="293"/>
      <c r="AB194" s="293"/>
      <c r="AC194" s="293"/>
      <c r="AD194" s="293"/>
    </row>
    <row r="195" spans="1:30" ht="14.25" customHeight="1" x14ac:dyDescent="0.3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93"/>
      <c r="AB195" s="293"/>
      <c r="AC195" s="293"/>
      <c r="AD195" s="293"/>
    </row>
    <row r="196" spans="1:30" ht="14.25" customHeight="1" x14ac:dyDescent="0.3">
      <c r="A196" s="293"/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293"/>
      <c r="AB196" s="293"/>
      <c r="AC196" s="293"/>
      <c r="AD196" s="293"/>
    </row>
    <row r="197" spans="1:30" ht="14.25" customHeight="1" x14ac:dyDescent="0.3">
      <c r="A197" s="293"/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93"/>
      <c r="AB197" s="293"/>
      <c r="AC197" s="293"/>
      <c r="AD197" s="293"/>
    </row>
    <row r="198" spans="1:30" ht="14.25" customHeight="1" x14ac:dyDescent="0.3">
      <c r="A198" s="293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93"/>
      <c r="AB198" s="293"/>
      <c r="AC198" s="293"/>
      <c r="AD198" s="293"/>
    </row>
    <row r="199" spans="1:30" ht="14.25" customHeight="1" x14ac:dyDescent="0.3">
      <c r="A199" s="293"/>
      <c r="B199" s="293"/>
      <c r="C199" s="293"/>
      <c r="D199" s="293"/>
      <c r="E199" s="293"/>
      <c r="F199" s="293"/>
      <c r="G199" s="293"/>
      <c r="H199" s="293"/>
      <c r="I199" s="293"/>
      <c r="J199" s="293"/>
      <c r="K199" s="293"/>
      <c r="L199" s="293"/>
      <c r="M199" s="293"/>
      <c r="N199" s="293"/>
      <c r="O199" s="293"/>
      <c r="P199" s="293"/>
      <c r="Q199" s="293"/>
      <c r="R199" s="293"/>
      <c r="S199" s="293"/>
      <c r="T199" s="293"/>
      <c r="U199" s="293"/>
      <c r="V199" s="293"/>
      <c r="W199" s="293"/>
      <c r="X199" s="293"/>
      <c r="Y199" s="293"/>
      <c r="Z199" s="293"/>
      <c r="AA199" s="293"/>
      <c r="AB199" s="293"/>
      <c r="AC199" s="293"/>
      <c r="AD199" s="293"/>
    </row>
    <row r="200" spans="1:30" ht="14.25" customHeight="1" x14ac:dyDescent="0.3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93"/>
      <c r="AB200" s="293"/>
      <c r="AC200" s="293"/>
      <c r="AD200" s="293"/>
    </row>
    <row r="201" spans="1:30" ht="14.25" customHeight="1" x14ac:dyDescent="0.3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93"/>
      <c r="AB201" s="293"/>
      <c r="AC201" s="293"/>
      <c r="AD201" s="293"/>
    </row>
    <row r="202" spans="1:30" ht="14.25" customHeight="1" x14ac:dyDescent="0.3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93"/>
      <c r="AB202" s="293"/>
      <c r="AC202" s="293"/>
      <c r="AD202" s="293"/>
    </row>
    <row r="203" spans="1:30" ht="14.25" customHeight="1" x14ac:dyDescent="0.3">
      <c r="A203" s="293"/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93"/>
      <c r="AB203" s="293"/>
      <c r="AC203" s="293"/>
      <c r="AD203" s="293"/>
    </row>
    <row r="204" spans="1:30" ht="14.25" customHeight="1" x14ac:dyDescent="0.3">
      <c r="A204" s="293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93"/>
      <c r="AB204" s="293"/>
      <c r="AC204" s="293"/>
      <c r="AD204" s="293"/>
    </row>
    <row r="205" spans="1:30" ht="14.25" customHeight="1" x14ac:dyDescent="0.3">
      <c r="A205" s="293"/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93"/>
      <c r="AB205" s="293"/>
      <c r="AC205" s="293"/>
      <c r="AD205" s="293"/>
    </row>
    <row r="206" spans="1:30" ht="14.25" customHeight="1" x14ac:dyDescent="0.3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  <c r="Y206" s="293"/>
      <c r="Z206" s="293"/>
      <c r="AA206" s="293"/>
      <c r="AB206" s="293"/>
      <c r="AC206" s="293"/>
      <c r="AD206" s="293"/>
    </row>
    <row r="207" spans="1:30" ht="14.25" customHeight="1" x14ac:dyDescent="0.3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3"/>
      <c r="P207" s="293"/>
      <c r="Q207" s="293"/>
      <c r="R207" s="293"/>
      <c r="S207" s="293"/>
      <c r="T207" s="293"/>
      <c r="U207" s="293"/>
      <c r="V207" s="293"/>
      <c r="W207" s="293"/>
      <c r="X207" s="293"/>
      <c r="Y207" s="293"/>
      <c r="Z207" s="293"/>
      <c r="AA207" s="293"/>
      <c r="AB207" s="293"/>
      <c r="AC207" s="293"/>
      <c r="AD207" s="293"/>
    </row>
    <row r="208" spans="1:30" ht="14.25" customHeight="1" x14ac:dyDescent="0.3">
      <c r="A208" s="293"/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93"/>
      <c r="AB208" s="293"/>
      <c r="AC208" s="293"/>
      <c r="AD208" s="293"/>
    </row>
    <row r="209" spans="1:30" ht="14.25" customHeight="1" x14ac:dyDescent="0.3">
      <c r="A209" s="293"/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93"/>
      <c r="AB209" s="293"/>
      <c r="AC209" s="293"/>
      <c r="AD209" s="293"/>
    </row>
    <row r="210" spans="1:30" ht="14.25" customHeight="1" x14ac:dyDescent="0.3">
      <c r="A210" s="293"/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93"/>
      <c r="AB210" s="293"/>
      <c r="AC210" s="293"/>
      <c r="AD210" s="293"/>
    </row>
    <row r="211" spans="1:30" ht="14.25" customHeight="1" x14ac:dyDescent="0.3">
      <c r="A211" s="293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93"/>
      <c r="AB211" s="293"/>
      <c r="AC211" s="293"/>
      <c r="AD211" s="293"/>
    </row>
    <row r="212" spans="1:30" ht="14.25" customHeight="1" x14ac:dyDescent="0.3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  <c r="Y212" s="293"/>
      <c r="Z212" s="293"/>
      <c r="AA212" s="293"/>
      <c r="AB212" s="293"/>
      <c r="AC212" s="293"/>
      <c r="AD212" s="293"/>
    </row>
    <row r="213" spans="1:30" ht="14.25" customHeight="1" x14ac:dyDescent="0.3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93"/>
      <c r="AB213" s="293"/>
      <c r="AC213" s="293"/>
      <c r="AD213" s="293"/>
    </row>
    <row r="214" spans="1:30" ht="14.25" customHeight="1" x14ac:dyDescent="0.3">
      <c r="A214" s="293"/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93"/>
      <c r="AB214" s="293"/>
      <c r="AC214" s="293"/>
      <c r="AD214" s="293"/>
    </row>
    <row r="215" spans="1:30" ht="14.25" customHeight="1" x14ac:dyDescent="0.3">
      <c r="A215" s="293"/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93"/>
      <c r="AB215" s="293"/>
      <c r="AC215" s="293"/>
      <c r="AD215" s="293"/>
    </row>
    <row r="216" spans="1:30" ht="14.25" customHeight="1" x14ac:dyDescent="0.3">
      <c r="A216" s="293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93"/>
      <c r="AB216" s="293"/>
      <c r="AC216" s="293"/>
      <c r="AD216" s="293"/>
    </row>
    <row r="217" spans="1:30" ht="14.25" customHeight="1" x14ac:dyDescent="0.3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93"/>
      <c r="AB217" s="293"/>
      <c r="AC217" s="293"/>
      <c r="AD217" s="293"/>
    </row>
    <row r="218" spans="1:30" ht="14.25" customHeight="1" x14ac:dyDescent="0.3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93"/>
      <c r="AB218" s="293"/>
      <c r="AC218" s="293"/>
      <c r="AD218" s="293"/>
    </row>
    <row r="219" spans="1:30" ht="14.25" customHeight="1" x14ac:dyDescent="0.3">
      <c r="A219" s="293"/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93"/>
      <c r="AB219" s="293"/>
      <c r="AC219" s="293"/>
      <c r="AD219" s="293"/>
    </row>
    <row r="220" spans="1:30" ht="14.25" customHeight="1" x14ac:dyDescent="0.3">
      <c r="A220" s="293"/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93"/>
      <c r="AB220" s="293"/>
      <c r="AC220" s="293"/>
      <c r="AD220" s="293"/>
    </row>
    <row r="221" spans="1:30" ht="14.25" customHeight="1" x14ac:dyDescent="0.3">
      <c r="A221" s="293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293"/>
      <c r="Y221" s="293"/>
      <c r="Z221" s="293"/>
      <c r="AA221" s="293"/>
      <c r="AB221" s="293"/>
      <c r="AC221" s="293"/>
      <c r="AD221" s="293"/>
    </row>
    <row r="222" spans="1:30" ht="14.25" customHeight="1" x14ac:dyDescent="0.3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93"/>
      <c r="AB222" s="293"/>
      <c r="AC222" s="293"/>
      <c r="AD222" s="293"/>
    </row>
    <row r="223" spans="1:30" ht="14.25" customHeight="1" x14ac:dyDescent="0.3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93"/>
      <c r="AB223" s="293"/>
      <c r="AC223" s="293"/>
      <c r="AD223" s="293"/>
    </row>
    <row r="224" spans="1:30" ht="14.25" customHeight="1" x14ac:dyDescent="0.3">
      <c r="A224" s="293"/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93"/>
      <c r="AB224" s="293"/>
      <c r="AC224" s="293"/>
      <c r="AD224" s="293"/>
    </row>
    <row r="225" spans="1:30" ht="14.25" customHeight="1" x14ac:dyDescent="0.3">
      <c r="A225" s="293"/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93"/>
      <c r="AB225" s="293"/>
      <c r="AC225" s="293"/>
      <c r="AD225" s="293"/>
    </row>
    <row r="226" spans="1:30" ht="14.25" customHeight="1" x14ac:dyDescent="0.3">
      <c r="A226" s="293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93"/>
      <c r="AB226" s="293"/>
      <c r="AC226" s="293"/>
      <c r="AD226" s="293"/>
    </row>
    <row r="227" spans="1:30" ht="14.25" customHeight="1" x14ac:dyDescent="0.3">
      <c r="A227" s="293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293"/>
      <c r="AB227" s="293"/>
      <c r="AC227" s="293"/>
      <c r="AD227" s="293"/>
    </row>
    <row r="228" spans="1:30" ht="14.25" customHeight="1" x14ac:dyDescent="0.3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93"/>
      <c r="AB228" s="293"/>
      <c r="AC228" s="293"/>
      <c r="AD228" s="293"/>
    </row>
    <row r="229" spans="1:30" ht="14.25" customHeight="1" x14ac:dyDescent="0.3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93"/>
      <c r="AB229" s="293"/>
      <c r="AC229" s="293"/>
      <c r="AD229" s="293"/>
    </row>
    <row r="230" spans="1:30" ht="14.25" customHeight="1" x14ac:dyDescent="0.3">
      <c r="A230" s="293"/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93"/>
      <c r="AB230" s="293"/>
      <c r="AC230" s="293"/>
      <c r="AD230" s="293"/>
    </row>
    <row r="231" spans="1:30" ht="14.25" customHeight="1" x14ac:dyDescent="0.3">
      <c r="A231" s="293"/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93"/>
      <c r="AB231" s="293"/>
      <c r="AC231" s="293"/>
      <c r="AD231" s="293"/>
    </row>
    <row r="232" spans="1:30" ht="14.25" customHeight="1" x14ac:dyDescent="0.3">
      <c r="A232" s="293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93"/>
      <c r="AB232" s="293"/>
      <c r="AC232" s="293"/>
      <c r="AD232" s="293"/>
    </row>
    <row r="233" spans="1:30" ht="14.25" customHeight="1" x14ac:dyDescent="0.3">
      <c r="A233" s="293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93"/>
      <c r="AB233" s="293"/>
      <c r="AC233" s="293"/>
      <c r="AD233" s="293"/>
    </row>
    <row r="234" spans="1:30" ht="14.25" customHeight="1" x14ac:dyDescent="0.3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3"/>
      <c r="P234" s="293"/>
      <c r="Q234" s="293"/>
      <c r="R234" s="293"/>
      <c r="S234" s="293"/>
      <c r="T234" s="293"/>
      <c r="U234" s="293"/>
      <c r="V234" s="293"/>
      <c r="W234" s="293"/>
      <c r="X234" s="293"/>
      <c r="Y234" s="293"/>
      <c r="Z234" s="293"/>
      <c r="AA234" s="293"/>
      <c r="AB234" s="293"/>
      <c r="AC234" s="293"/>
      <c r="AD234" s="293"/>
    </row>
    <row r="235" spans="1:30" ht="14.25" customHeight="1" x14ac:dyDescent="0.3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  <c r="Y235" s="293"/>
      <c r="Z235" s="293"/>
      <c r="AA235" s="293"/>
      <c r="AB235" s="293"/>
      <c r="AC235" s="293"/>
      <c r="AD235" s="293"/>
    </row>
    <row r="236" spans="1:30" ht="14.25" customHeight="1" x14ac:dyDescent="0.3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93"/>
      <c r="AB236" s="293"/>
      <c r="AC236" s="293"/>
      <c r="AD236" s="293"/>
    </row>
    <row r="237" spans="1:30" ht="14.25" customHeight="1" x14ac:dyDescent="0.3">
      <c r="A237" s="293"/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93"/>
      <c r="AB237" s="293"/>
      <c r="AC237" s="293"/>
      <c r="AD237" s="293"/>
    </row>
    <row r="238" spans="1:30" ht="14.25" customHeight="1" x14ac:dyDescent="0.3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93"/>
      <c r="AB238" s="293"/>
      <c r="AC238" s="293"/>
      <c r="AD238" s="293"/>
    </row>
    <row r="239" spans="1:30" ht="14.25" customHeight="1" x14ac:dyDescent="0.3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93"/>
      <c r="AB239" s="293"/>
      <c r="AC239" s="293"/>
      <c r="AD239" s="293"/>
    </row>
    <row r="240" spans="1:30" ht="14.25" customHeight="1" x14ac:dyDescent="0.3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  <c r="Y240" s="293"/>
      <c r="Z240" s="293"/>
      <c r="AA240" s="293"/>
      <c r="AB240" s="293"/>
      <c r="AC240" s="293"/>
      <c r="AD240" s="293"/>
    </row>
    <row r="241" spans="1:30" ht="14.25" customHeight="1" x14ac:dyDescent="0.3">
      <c r="A241" s="293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93"/>
      <c r="AB241" s="293"/>
      <c r="AC241" s="293"/>
      <c r="AD241" s="293"/>
    </row>
    <row r="242" spans="1:30" ht="14.25" customHeight="1" x14ac:dyDescent="0.3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93"/>
      <c r="AB242" s="293"/>
      <c r="AC242" s="293"/>
      <c r="AD242" s="293"/>
    </row>
    <row r="243" spans="1:30" ht="14.25" customHeight="1" x14ac:dyDescent="0.3">
      <c r="A243" s="293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93"/>
      <c r="AB243" s="293"/>
      <c r="AC243" s="293"/>
      <c r="AD243" s="293"/>
    </row>
    <row r="244" spans="1:30" ht="14.25" customHeight="1" x14ac:dyDescent="0.3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  <c r="AA244" s="293"/>
      <c r="AB244" s="293"/>
      <c r="AC244" s="293"/>
      <c r="AD244" s="293"/>
    </row>
    <row r="245" spans="1:30" ht="14.25" customHeight="1" x14ac:dyDescent="0.3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  <c r="Y245" s="293"/>
      <c r="Z245" s="293"/>
      <c r="AA245" s="293"/>
      <c r="AB245" s="293"/>
      <c r="AC245" s="293"/>
      <c r="AD245" s="293"/>
    </row>
    <row r="246" spans="1:30" ht="14.25" customHeight="1" x14ac:dyDescent="0.3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93"/>
      <c r="AB246" s="293"/>
      <c r="AC246" s="293"/>
      <c r="AD246" s="293"/>
    </row>
    <row r="247" spans="1:30" ht="14.25" customHeight="1" x14ac:dyDescent="0.3">
      <c r="A247" s="293"/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93"/>
      <c r="AB247" s="293"/>
      <c r="AC247" s="293"/>
      <c r="AD247" s="293"/>
    </row>
    <row r="248" spans="1:30" ht="14.25" customHeight="1" x14ac:dyDescent="0.3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93"/>
      <c r="AB248" s="293"/>
      <c r="AC248" s="293"/>
      <c r="AD248" s="293"/>
    </row>
    <row r="249" spans="1:30" ht="14.25" customHeight="1" x14ac:dyDescent="0.3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93"/>
      <c r="AB249" s="293"/>
      <c r="AC249" s="293"/>
      <c r="AD249" s="293"/>
    </row>
    <row r="250" spans="1:30" ht="14.25" customHeight="1" x14ac:dyDescent="0.3">
      <c r="A250" s="293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  <c r="Y250" s="293"/>
      <c r="Z250" s="293"/>
      <c r="AA250" s="293"/>
      <c r="AB250" s="293"/>
      <c r="AC250" s="293"/>
      <c r="AD250" s="293"/>
    </row>
    <row r="251" spans="1:30" ht="14.25" customHeight="1" x14ac:dyDescent="0.3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93"/>
      <c r="AB251" s="293"/>
      <c r="AC251" s="293"/>
      <c r="AD251" s="293"/>
    </row>
    <row r="252" spans="1:30" ht="14.25" customHeight="1" x14ac:dyDescent="0.3">
      <c r="A252" s="293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</row>
    <row r="253" spans="1:30" ht="14.25" customHeight="1" x14ac:dyDescent="0.3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293"/>
      <c r="AB253" s="293"/>
      <c r="AC253" s="293"/>
      <c r="AD253" s="293"/>
    </row>
    <row r="254" spans="1:30" ht="14.25" customHeight="1" x14ac:dyDescent="0.3">
      <c r="A254" s="293"/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93"/>
      <c r="AB254" s="293"/>
      <c r="AC254" s="293"/>
      <c r="AD254" s="293"/>
    </row>
    <row r="255" spans="1:30" ht="14.25" customHeight="1" x14ac:dyDescent="0.3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3"/>
      <c r="P255" s="293"/>
      <c r="Q255" s="293"/>
      <c r="R255" s="293"/>
      <c r="S255" s="293"/>
      <c r="T255" s="293"/>
      <c r="U255" s="293"/>
      <c r="V255" s="293"/>
      <c r="W255" s="293"/>
      <c r="X255" s="293"/>
      <c r="Y255" s="293"/>
      <c r="Z255" s="293"/>
      <c r="AA255" s="293"/>
      <c r="AB255" s="293"/>
      <c r="AC255" s="293"/>
      <c r="AD255" s="293"/>
    </row>
    <row r="256" spans="1:30" ht="14.25" customHeight="1" x14ac:dyDescent="0.3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3"/>
      <c r="P256" s="293"/>
      <c r="Q256" s="293"/>
      <c r="R256" s="293"/>
      <c r="S256" s="293"/>
      <c r="T256" s="293"/>
      <c r="U256" s="293"/>
      <c r="V256" s="293"/>
      <c r="W256" s="293"/>
      <c r="X256" s="293"/>
      <c r="Y256" s="293"/>
      <c r="Z256" s="293"/>
      <c r="AA256" s="293"/>
      <c r="AB256" s="293"/>
      <c r="AC256" s="293"/>
      <c r="AD256" s="293"/>
    </row>
    <row r="257" spans="1:30" ht="14.25" customHeight="1" x14ac:dyDescent="0.3">
      <c r="A257" s="293"/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93"/>
      <c r="AB257" s="293"/>
      <c r="AC257" s="293"/>
      <c r="AD257" s="293"/>
    </row>
    <row r="258" spans="1:30" ht="14.25" customHeight="1" x14ac:dyDescent="0.3">
      <c r="A258" s="293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293"/>
      <c r="P258" s="293"/>
      <c r="Q258" s="293"/>
      <c r="R258" s="293"/>
      <c r="S258" s="293"/>
      <c r="T258" s="293"/>
      <c r="U258" s="293"/>
      <c r="V258" s="293"/>
      <c r="W258" s="293"/>
      <c r="X258" s="293"/>
      <c r="Y258" s="293"/>
      <c r="Z258" s="293"/>
      <c r="AA258" s="293"/>
      <c r="AB258" s="293"/>
      <c r="AC258" s="293"/>
      <c r="AD258" s="293"/>
    </row>
    <row r="259" spans="1:30" ht="14.25" customHeight="1" x14ac:dyDescent="0.3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3"/>
      <c r="P259" s="293"/>
      <c r="Q259" s="293"/>
      <c r="R259" s="293"/>
      <c r="S259" s="293"/>
      <c r="T259" s="293"/>
      <c r="U259" s="293"/>
      <c r="V259" s="293"/>
      <c r="W259" s="293"/>
      <c r="X259" s="293"/>
      <c r="Y259" s="293"/>
      <c r="Z259" s="293"/>
      <c r="AA259" s="293"/>
      <c r="AB259" s="293"/>
      <c r="AC259" s="293"/>
      <c r="AD259" s="293"/>
    </row>
    <row r="260" spans="1:30" ht="14.25" customHeight="1" x14ac:dyDescent="0.3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93"/>
      <c r="AB260" s="293"/>
      <c r="AC260" s="293"/>
      <c r="AD260" s="293"/>
    </row>
    <row r="261" spans="1:30" ht="14.25" customHeight="1" x14ac:dyDescent="0.3">
      <c r="A261" s="293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93"/>
      <c r="AB261" s="293"/>
      <c r="AC261" s="293"/>
      <c r="AD261" s="293"/>
    </row>
    <row r="262" spans="1:30" ht="14.25" customHeight="1" x14ac:dyDescent="0.3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3"/>
      <c r="P262" s="293"/>
      <c r="Q262" s="293"/>
      <c r="R262" s="293"/>
      <c r="S262" s="293"/>
      <c r="T262" s="293"/>
      <c r="U262" s="293"/>
      <c r="V262" s="293"/>
      <c r="W262" s="293"/>
      <c r="X262" s="293"/>
      <c r="Y262" s="293"/>
      <c r="Z262" s="293"/>
      <c r="AA262" s="293"/>
      <c r="AB262" s="293"/>
      <c r="AC262" s="293"/>
      <c r="AD262" s="293"/>
    </row>
    <row r="263" spans="1:30" ht="14.25" customHeight="1" x14ac:dyDescent="0.3">
      <c r="A263" s="293"/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93"/>
      <c r="AB263" s="293"/>
      <c r="AC263" s="293"/>
      <c r="AD263" s="293"/>
    </row>
    <row r="264" spans="1:30" ht="14.25" customHeight="1" x14ac:dyDescent="0.3">
      <c r="A264" s="293"/>
      <c r="B264" s="293"/>
      <c r="C264" s="293"/>
      <c r="D264" s="293"/>
      <c r="E264" s="293"/>
      <c r="F264" s="293"/>
      <c r="G264" s="293"/>
      <c r="H264" s="293"/>
      <c r="I264" s="293"/>
      <c r="J264" s="293"/>
      <c r="K264" s="293"/>
      <c r="L264" s="293"/>
      <c r="M264" s="293"/>
      <c r="N264" s="293"/>
      <c r="O264" s="293"/>
      <c r="P264" s="293"/>
      <c r="Q264" s="293"/>
      <c r="R264" s="293"/>
      <c r="S264" s="293"/>
      <c r="T264" s="293"/>
      <c r="U264" s="293"/>
      <c r="V264" s="293"/>
      <c r="W264" s="293"/>
      <c r="X264" s="293"/>
      <c r="Y264" s="293"/>
      <c r="Z264" s="293"/>
      <c r="AA264" s="293"/>
      <c r="AB264" s="293"/>
      <c r="AC264" s="293"/>
      <c r="AD264" s="293"/>
    </row>
    <row r="265" spans="1:30" ht="14.25" customHeight="1" x14ac:dyDescent="0.3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3"/>
      <c r="P265" s="293"/>
      <c r="Q265" s="293"/>
      <c r="R265" s="293"/>
      <c r="S265" s="293"/>
      <c r="T265" s="293"/>
      <c r="U265" s="293"/>
      <c r="V265" s="293"/>
      <c r="W265" s="293"/>
      <c r="X265" s="293"/>
      <c r="Y265" s="293"/>
      <c r="Z265" s="293"/>
      <c r="AA265" s="293"/>
      <c r="AB265" s="293"/>
      <c r="AC265" s="293"/>
      <c r="AD265" s="293"/>
    </row>
    <row r="266" spans="1:30" ht="14.25" customHeight="1" x14ac:dyDescent="0.3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3"/>
      <c r="P266" s="293"/>
      <c r="Q266" s="293"/>
      <c r="R266" s="293"/>
      <c r="S266" s="293"/>
      <c r="T266" s="293"/>
      <c r="U266" s="293"/>
      <c r="V266" s="293"/>
      <c r="W266" s="293"/>
      <c r="X266" s="293"/>
      <c r="Y266" s="293"/>
      <c r="Z266" s="293"/>
      <c r="AA266" s="293"/>
      <c r="AB266" s="293"/>
      <c r="AC266" s="293"/>
      <c r="AD266" s="293"/>
    </row>
    <row r="267" spans="1:30" ht="14.25" customHeight="1" x14ac:dyDescent="0.3">
      <c r="A267" s="293"/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93"/>
      <c r="AB267" s="293"/>
      <c r="AC267" s="293"/>
      <c r="AD267" s="293"/>
    </row>
    <row r="268" spans="1:30" ht="14.25" customHeight="1" x14ac:dyDescent="0.3">
      <c r="A268" s="293"/>
      <c r="B268" s="293"/>
      <c r="C268" s="293"/>
      <c r="D268" s="293"/>
      <c r="E268" s="293"/>
      <c r="F268" s="293"/>
      <c r="G268" s="293"/>
      <c r="H268" s="293"/>
      <c r="I268" s="293"/>
      <c r="J268" s="293"/>
      <c r="K268" s="293"/>
      <c r="L268" s="293"/>
      <c r="M268" s="293"/>
      <c r="N268" s="293"/>
      <c r="O268" s="293"/>
      <c r="P268" s="293"/>
      <c r="Q268" s="293"/>
      <c r="R268" s="293"/>
      <c r="S268" s="293"/>
      <c r="T268" s="293"/>
      <c r="U268" s="293"/>
      <c r="V268" s="293"/>
      <c r="W268" s="293"/>
      <c r="X268" s="293"/>
      <c r="Y268" s="293"/>
      <c r="Z268" s="293"/>
      <c r="AA268" s="293"/>
      <c r="AB268" s="293"/>
      <c r="AC268" s="293"/>
      <c r="AD268" s="293"/>
    </row>
    <row r="269" spans="1:30" ht="14.25" customHeight="1" x14ac:dyDescent="0.3">
      <c r="A269" s="293"/>
      <c r="B269" s="293"/>
      <c r="C269" s="293"/>
      <c r="D269" s="293"/>
      <c r="E269" s="293"/>
      <c r="F269" s="293"/>
      <c r="G269" s="293"/>
      <c r="H269" s="293"/>
      <c r="I269" s="293"/>
      <c r="J269" s="293"/>
      <c r="K269" s="293"/>
      <c r="L269" s="293"/>
      <c r="M269" s="293"/>
      <c r="N269" s="293"/>
      <c r="O269" s="293"/>
      <c r="P269" s="293"/>
      <c r="Q269" s="293"/>
      <c r="R269" s="293"/>
      <c r="S269" s="293"/>
      <c r="T269" s="293"/>
      <c r="U269" s="293"/>
      <c r="V269" s="293"/>
      <c r="W269" s="293"/>
      <c r="X269" s="293"/>
      <c r="Y269" s="293"/>
      <c r="Z269" s="293"/>
      <c r="AA269" s="293"/>
      <c r="AB269" s="293"/>
      <c r="AC269" s="293"/>
      <c r="AD269" s="293"/>
    </row>
    <row r="270" spans="1:30" ht="14.25" customHeight="1" x14ac:dyDescent="0.3">
      <c r="A270" s="293"/>
      <c r="B270" s="293"/>
      <c r="C270" s="293"/>
      <c r="D270" s="293"/>
      <c r="E270" s="293"/>
      <c r="F270" s="293"/>
      <c r="G270" s="293"/>
      <c r="H270" s="293"/>
      <c r="I270" s="293"/>
      <c r="J270" s="293"/>
      <c r="K270" s="293"/>
      <c r="L270" s="293"/>
      <c r="M270" s="293"/>
      <c r="N270" s="293"/>
      <c r="O270" s="293"/>
      <c r="P270" s="293"/>
      <c r="Q270" s="293"/>
      <c r="R270" s="293"/>
      <c r="S270" s="293"/>
      <c r="T270" s="293"/>
      <c r="U270" s="293"/>
      <c r="V270" s="293"/>
      <c r="W270" s="293"/>
      <c r="X270" s="293"/>
      <c r="Y270" s="293"/>
      <c r="Z270" s="293"/>
      <c r="AA270" s="293"/>
      <c r="AB270" s="293"/>
      <c r="AC270" s="293"/>
      <c r="AD270" s="293"/>
    </row>
    <row r="271" spans="1:30" ht="14.25" customHeight="1" x14ac:dyDescent="0.3">
      <c r="A271" s="293"/>
      <c r="B271" s="293"/>
      <c r="C271" s="293"/>
      <c r="D271" s="293"/>
      <c r="E271" s="293"/>
      <c r="F271" s="293"/>
      <c r="G271" s="293"/>
      <c r="H271" s="293"/>
      <c r="I271" s="293"/>
      <c r="J271" s="293"/>
      <c r="K271" s="293"/>
      <c r="L271" s="293"/>
      <c r="M271" s="293"/>
      <c r="N271" s="293"/>
      <c r="O271" s="293"/>
      <c r="P271" s="293"/>
      <c r="Q271" s="293"/>
      <c r="R271" s="293"/>
      <c r="S271" s="293"/>
      <c r="T271" s="293"/>
      <c r="U271" s="293"/>
      <c r="V271" s="293"/>
      <c r="W271" s="293"/>
      <c r="X271" s="293"/>
      <c r="Y271" s="293"/>
      <c r="Z271" s="293"/>
      <c r="AA271" s="293"/>
      <c r="AB271" s="293"/>
      <c r="AC271" s="293"/>
      <c r="AD271" s="293"/>
    </row>
    <row r="272" spans="1:30" ht="14.25" customHeight="1" x14ac:dyDescent="0.3">
      <c r="A272" s="293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293"/>
      <c r="P272" s="293"/>
      <c r="Q272" s="293"/>
      <c r="R272" s="293"/>
      <c r="S272" s="293"/>
      <c r="T272" s="293"/>
      <c r="U272" s="293"/>
      <c r="V272" s="293"/>
      <c r="W272" s="293"/>
      <c r="X272" s="293"/>
      <c r="Y272" s="293"/>
      <c r="Z272" s="293"/>
      <c r="AA272" s="293"/>
      <c r="AB272" s="293"/>
      <c r="AC272" s="293"/>
      <c r="AD272" s="293"/>
    </row>
    <row r="273" spans="1:30" ht="14.25" customHeight="1" x14ac:dyDescent="0.3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293"/>
      <c r="P273" s="293"/>
      <c r="Q273" s="293"/>
      <c r="R273" s="293"/>
      <c r="S273" s="293"/>
      <c r="T273" s="293"/>
      <c r="U273" s="293"/>
      <c r="V273" s="293"/>
      <c r="W273" s="293"/>
      <c r="X273" s="293"/>
      <c r="Y273" s="293"/>
      <c r="Z273" s="293"/>
      <c r="AA273" s="293"/>
      <c r="AB273" s="293"/>
      <c r="AC273" s="293"/>
      <c r="AD273" s="293"/>
    </row>
    <row r="274" spans="1:30" ht="14.25" customHeight="1" x14ac:dyDescent="0.3">
      <c r="A274" s="293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3"/>
      <c r="P274" s="293"/>
      <c r="Q274" s="293"/>
      <c r="R274" s="293"/>
      <c r="S274" s="293"/>
      <c r="T274" s="293"/>
      <c r="U274" s="293"/>
      <c r="V274" s="293"/>
      <c r="W274" s="293"/>
      <c r="X274" s="293"/>
      <c r="Y274" s="293"/>
      <c r="Z274" s="293"/>
      <c r="AA274" s="293"/>
      <c r="AB274" s="293"/>
      <c r="AC274" s="293"/>
      <c r="AD274" s="293"/>
    </row>
    <row r="275" spans="1:30" ht="14.25" customHeight="1" x14ac:dyDescent="0.3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3"/>
      <c r="P275" s="293"/>
      <c r="Q275" s="293"/>
      <c r="R275" s="293"/>
      <c r="S275" s="293"/>
      <c r="T275" s="293"/>
      <c r="U275" s="293"/>
      <c r="V275" s="293"/>
      <c r="W275" s="293"/>
      <c r="X275" s="293"/>
      <c r="Y275" s="293"/>
      <c r="Z275" s="293"/>
      <c r="AA275" s="293"/>
      <c r="AB275" s="293"/>
      <c r="AC275" s="293"/>
      <c r="AD275" s="293"/>
    </row>
    <row r="276" spans="1:30" ht="14.25" customHeight="1" x14ac:dyDescent="0.3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3"/>
      <c r="P276" s="293"/>
      <c r="Q276" s="293"/>
      <c r="R276" s="293"/>
      <c r="S276" s="293"/>
      <c r="T276" s="293"/>
      <c r="U276" s="293"/>
      <c r="V276" s="293"/>
      <c r="W276" s="293"/>
      <c r="X276" s="293"/>
      <c r="Y276" s="293"/>
      <c r="Z276" s="293"/>
      <c r="AA276" s="293"/>
      <c r="AB276" s="293"/>
      <c r="AC276" s="293"/>
      <c r="AD276" s="293"/>
    </row>
    <row r="277" spans="1:30" ht="14.25" customHeight="1" x14ac:dyDescent="0.3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3"/>
      <c r="P277" s="293"/>
      <c r="Q277" s="293"/>
      <c r="R277" s="293"/>
      <c r="S277" s="293"/>
      <c r="T277" s="293"/>
      <c r="U277" s="293"/>
      <c r="V277" s="293"/>
      <c r="W277" s="293"/>
      <c r="X277" s="293"/>
      <c r="Y277" s="293"/>
      <c r="Z277" s="293"/>
      <c r="AA277" s="293"/>
      <c r="AB277" s="293"/>
      <c r="AC277" s="293"/>
      <c r="AD277" s="293"/>
    </row>
    <row r="278" spans="1:30" ht="14.25" customHeight="1" x14ac:dyDescent="0.3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3"/>
      <c r="P278" s="293"/>
      <c r="Q278" s="293"/>
      <c r="R278" s="293"/>
      <c r="S278" s="293"/>
      <c r="T278" s="293"/>
      <c r="U278" s="293"/>
      <c r="V278" s="293"/>
      <c r="W278" s="293"/>
      <c r="X278" s="293"/>
      <c r="Y278" s="293"/>
      <c r="Z278" s="293"/>
      <c r="AA278" s="293"/>
      <c r="AB278" s="293"/>
      <c r="AC278" s="293"/>
      <c r="AD278" s="293"/>
    </row>
    <row r="279" spans="1:30" ht="14.25" customHeight="1" x14ac:dyDescent="0.3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3"/>
      <c r="P279" s="293"/>
      <c r="Q279" s="293"/>
      <c r="R279" s="293"/>
      <c r="S279" s="293"/>
      <c r="T279" s="293"/>
      <c r="U279" s="293"/>
      <c r="V279" s="293"/>
      <c r="W279" s="293"/>
      <c r="X279" s="293"/>
      <c r="Y279" s="293"/>
      <c r="Z279" s="293"/>
      <c r="AA279" s="293"/>
      <c r="AB279" s="293"/>
      <c r="AC279" s="293"/>
      <c r="AD279" s="293"/>
    </row>
    <row r="280" spans="1:30" ht="14.25" customHeight="1" x14ac:dyDescent="0.3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3"/>
      <c r="P280" s="293"/>
      <c r="Q280" s="293"/>
      <c r="R280" s="293"/>
      <c r="S280" s="293"/>
      <c r="T280" s="293"/>
      <c r="U280" s="293"/>
      <c r="V280" s="293"/>
      <c r="W280" s="293"/>
      <c r="X280" s="293"/>
      <c r="Y280" s="293"/>
      <c r="Z280" s="293"/>
      <c r="AA280" s="293"/>
      <c r="AB280" s="293"/>
      <c r="AC280" s="293"/>
      <c r="AD280" s="293"/>
    </row>
    <row r="281" spans="1:30" ht="14.25" customHeight="1" x14ac:dyDescent="0.3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3"/>
      <c r="P281" s="293"/>
      <c r="Q281" s="293"/>
      <c r="R281" s="293"/>
      <c r="S281" s="293"/>
      <c r="T281" s="293"/>
      <c r="U281" s="293"/>
      <c r="V281" s="293"/>
      <c r="W281" s="293"/>
      <c r="X281" s="293"/>
      <c r="Y281" s="293"/>
      <c r="Z281" s="293"/>
      <c r="AA281" s="293"/>
      <c r="AB281" s="293"/>
      <c r="AC281" s="293"/>
      <c r="AD281" s="293"/>
    </row>
    <row r="282" spans="1:30" ht="14.25" customHeight="1" x14ac:dyDescent="0.3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3"/>
      <c r="P282" s="293"/>
      <c r="Q282" s="293"/>
      <c r="R282" s="293"/>
      <c r="S282" s="293"/>
      <c r="T282" s="293"/>
      <c r="U282" s="293"/>
      <c r="V282" s="293"/>
      <c r="W282" s="293"/>
      <c r="X282" s="293"/>
      <c r="Y282" s="293"/>
      <c r="Z282" s="293"/>
      <c r="AA282" s="293"/>
      <c r="AB282" s="293"/>
      <c r="AC282" s="293"/>
      <c r="AD282" s="293"/>
    </row>
    <row r="283" spans="1:30" ht="14.25" customHeight="1" x14ac:dyDescent="0.3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3"/>
      <c r="P283" s="293"/>
      <c r="Q283" s="293"/>
      <c r="R283" s="293"/>
      <c r="S283" s="293"/>
      <c r="T283" s="293"/>
      <c r="U283" s="293"/>
      <c r="V283" s="293"/>
      <c r="W283" s="293"/>
      <c r="X283" s="293"/>
      <c r="Y283" s="293"/>
      <c r="Z283" s="293"/>
      <c r="AA283" s="293"/>
      <c r="AB283" s="293"/>
      <c r="AC283" s="293"/>
      <c r="AD283" s="293"/>
    </row>
    <row r="284" spans="1:30" ht="14.25" customHeight="1" x14ac:dyDescent="0.3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3"/>
      <c r="P284" s="293"/>
      <c r="Q284" s="293"/>
      <c r="R284" s="293"/>
      <c r="S284" s="293"/>
      <c r="T284" s="293"/>
      <c r="U284" s="293"/>
      <c r="V284" s="293"/>
      <c r="W284" s="293"/>
      <c r="X284" s="293"/>
      <c r="Y284" s="293"/>
      <c r="Z284" s="293"/>
      <c r="AA284" s="293"/>
      <c r="AB284" s="293"/>
      <c r="AC284" s="293"/>
      <c r="AD284" s="293"/>
    </row>
    <row r="285" spans="1:30" ht="14.25" customHeight="1" x14ac:dyDescent="0.3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3"/>
      <c r="P285" s="293"/>
      <c r="Q285" s="293"/>
      <c r="R285" s="293"/>
      <c r="S285" s="293"/>
      <c r="T285" s="293"/>
      <c r="U285" s="293"/>
      <c r="V285" s="293"/>
      <c r="W285" s="293"/>
      <c r="X285" s="293"/>
      <c r="Y285" s="293"/>
      <c r="Z285" s="293"/>
      <c r="AA285" s="293"/>
      <c r="AB285" s="293"/>
      <c r="AC285" s="293"/>
      <c r="AD285" s="293"/>
    </row>
    <row r="286" spans="1:30" ht="14.25" customHeight="1" x14ac:dyDescent="0.3">
      <c r="A286" s="293"/>
      <c r="B286" s="293"/>
      <c r="C286" s="293"/>
      <c r="D286" s="293"/>
      <c r="E286" s="293"/>
      <c r="F286" s="293"/>
      <c r="G286" s="293"/>
      <c r="H286" s="293"/>
      <c r="I286" s="293"/>
      <c r="J286" s="293"/>
      <c r="K286" s="293"/>
      <c r="L286" s="293"/>
      <c r="M286" s="293"/>
      <c r="N286" s="293"/>
      <c r="O286" s="293"/>
      <c r="P286" s="293"/>
      <c r="Q286" s="293"/>
      <c r="R286" s="293"/>
      <c r="S286" s="293"/>
      <c r="T286" s="293"/>
      <c r="U286" s="293"/>
      <c r="V286" s="293"/>
      <c r="W286" s="293"/>
      <c r="X286" s="293"/>
      <c r="Y286" s="293"/>
      <c r="Z286" s="293"/>
      <c r="AA286" s="293"/>
      <c r="AB286" s="293"/>
      <c r="AC286" s="293"/>
      <c r="AD286" s="293"/>
    </row>
    <row r="287" spans="1:30" ht="14.25" customHeight="1" x14ac:dyDescent="0.3">
      <c r="A287" s="293"/>
      <c r="B287" s="293"/>
      <c r="C287" s="293"/>
      <c r="D287" s="293"/>
      <c r="E287" s="293"/>
      <c r="F287" s="293"/>
      <c r="G287" s="293"/>
      <c r="H287" s="293"/>
      <c r="I287" s="293"/>
      <c r="J287" s="293"/>
      <c r="K287" s="293"/>
      <c r="L287" s="293"/>
      <c r="M287" s="293"/>
      <c r="N287" s="293"/>
      <c r="O287" s="293"/>
      <c r="P287" s="293"/>
      <c r="Q287" s="293"/>
      <c r="R287" s="293"/>
      <c r="S287" s="293"/>
      <c r="T287" s="293"/>
      <c r="U287" s="293"/>
      <c r="V287" s="293"/>
      <c r="W287" s="293"/>
      <c r="X287" s="293"/>
      <c r="Y287" s="293"/>
      <c r="Z287" s="293"/>
      <c r="AA287" s="293"/>
      <c r="AB287" s="293"/>
      <c r="AC287" s="293"/>
      <c r="AD287" s="293"/>
    </row>
    <row r="288" spans="1:30" ht="14.25" customHeight="1" x14ac:dyDescent="0.3">
      <c r="A288" s="293"/>
      <c r="B288" s="293"/>
      <c r="C288" s="293"/>
      <c r="D288" s="293"/>
      <c r="E288" s="293"/>
      <c r="F288" s="293"/>
      <c r="G288" s="293"/>
      <c r="H288" s="293"/>
      <c r="I288" s="293"/>
      <c r="J288" s="293"/>
      <c r="K288" s="293"/>
      <c r="L288" s="293"/>
      <c r="M288" s="293"/>
      <c r="N288" s="293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  <c r="Y288" s="293"/>
      <c r="Z288" s="293"/>
      <c r="AA288" s="293"/>
      <c r="AB288" s="293"/>
      <c r="AC288" s="293"/>
      <c r="AD288" s="293"/>
    </row>
    <row r="289" spans="1:30" ht="14.25" customHeight="1" x14ac:dyDescent="0.3">
      <c r="A289" s="293"/>
      <c r="B289" s="293"/>
      <c r="C289" s="293"/>
      <c r="D289" s="293"/>
      <c r="E289" s="293"/>
      <c r="F289" s="293"/>
      <c r="G289" s="293"/>
      <c r="H289" s="293"/>
      <c r="I289" s="293"/>
      <c r="J289" s="293"/>
      <c r="K289" s="293"/>
      <c r="L289" s="293"/>
      <c r="M289" s="293"/>
      <c r="N289" s="293"/>
      <c r="O289" s="293"/>
      <c r="P289" s="293"/>
      <c r="Q289" s="293"/>
      <c r="R289" s="293"/>
      <c r="S289" s="293"/>
      <c r="T289" s="293"/>
      <c r="U289" s="293"/>
      <c r="V289" s="293"/>
      <c r="W289" s="293"/>
      <c r="X289" s="293"/>
      <c r="Y289" s="293"/>
      <c r="Z289" s="293"/>
      <c r="AA289" s="293"/>
      <c r="AB289" s="293"/>
      <c r="AC289" s="293"/>
      <c r="AD289" s="293"/>
    </row>
    <row r="290" spans="1:30" ht="14.25" customHeight="1" x14ac:dyDescent="0.3">
      <c r="A290" s="293"/>
      <c r="B290" s="293"/>
      <c r="C290" s="293"/>
      <c r="D290" s="293"/>
      <c r="E290" s="293"/>
      <c r="F290" s="293"/>
      <c r="G290" s="293"/>
      <c r="H290" s="293"/>
      <c r="I290" s="293"/>
      <c r="J290" s="293"/>
      <c r="K290" s="293"/>
      <c r="L290" s="293"/>
      <c r="M290" s="293"/>
      <c r="N290" s="293"/>
      <c r="O290" s="293"/>
      <c r="P290" s="293"/>
      <c r="Q290" s="293"/>
      <c r="R290" s="293"/>
      <c r="S290" s="293"/>
      <c r="T290" s="293"/>
      <c r="U290" s="293"/>
      <c r="V290" s="293"/>
      <c r="W290" s="293"/>
      <c r="X290" s="293"/>
      <c r="Y290" s="293"/>
      <c r="Z290" s="293"/>
      <c r="AA290" s="293"/>
      <c r="AB290" s="293"/>
      <c r="AC290" s="293"/>
      <c r="AD290" s="293"/>
    </row>
    <row r="291" spans="1:30" ht="14.25" customHeight="1" x14ac:dyDescent="0.3">
      <c r="A291" s="293"/>
      <c r="B291" s="293"/>
      <c r="C291" s="293"/>
      <c r="D291" s="293"/>
      <c r="E291" s="293"/>
      <c r="F291" s="293"/>
      <c r="G291" s="293"/>
      <c r="H291" s="293"/>
      <c r="I291" s="293"/>
      <c r="J291" s="293"/>
      <c r="K291" s="293"/>
      <c r="L291" s="293"/>
      <c r="M291" s="293"/>
      <c r="N291" s="293"/>
      <c r="O291" s="293"/>
      <c r="P291" s="293"/>
      <c r="Q291" s="293"/>
      <c r="R291" s="293"/>
      <c r="S291" s="293"/>
      <c r="T291" s="293"/>
      <c r="U291" s="293"/>
      <c r="V291" s="293"/>
      <c r="W291" s="293"/>
      <c r="X291" s="293"/>
      <c r="Y291" s="293"/>
      <c r="Z291" s="293"/>
      <c r="AA291" s="293"/>
      <c r="AB291" s="293"/>
      <c r="AC291" s="293"/>
      <c r="AD291" s="293"/>
    </row>
    <row r="292" spans="1:30" ht="14.25" customHeight="1" x14ac:dyDescent="0.3">
      <c r="A292" s="293"/>
      <c r="B292" s="293"/>
      <c r="C292" s="293"/>
      <c r="D292" s="293"/>
      <c r="E292" s="293"/>
      <c r="F292" s="293"/>
      <c r="G292" s="293"/>
      <c r="H292" s="293"/>
      <c r="I292" s="293"/>
      <c r="J292" s="293"/>
      <c r="K292" s="293"/>
      <c r="L292" s="293"/>
      <c r="M292" s="293"/>
      <c r="N292" s="293"/>
      <c r="O292" s="293"/>
      <c r="P292" s="293"/>
      <c r="Q292" s="293"/>
      <c r="R292" s="293"/>
      <c r="S292" s="293"/>
      <c r="T292" s="293"/>
      <c r="U292" s="293"/>
      <c r="V292" s="293"/>
      <c r="W292" s="293"/>
      <c r="X292" s="293"/>
      <c r="Y292" s="293"/>
      <c r="Z292" s="293"/>
      <c r="AA292" s="293"/>
      <c r="AB292" s="293"/>
      <c r="AC292" s="293"/>
      <c r="AD292" s="293"/>
    </row>
    <row r="293" spans="1:30" ht="14.25" customHeight="1" x14ac:dyDescent="0.3">
      <c r="A293" s="293"/>
      <c r="B293" s="293"/>
      <c r="C293" s="293"/>
      <c r="D293" s="293"/>
      <c r="E293" s="293"/>
      <c r="F293" s="293"/>
      <c r="G293" s="293"/>
      <c r="H293" s="293"/>
      <c r="I293" s="293"/>
      <c r="J293" s="293"/>
      <c r="K293" s="293"/>
      <c r="L293" s="293"/>
      <c r="M293" s="293"/>
      <c r="N293" s="293"/>
      <c r="O293" s="293"/>
      <c r="P293" s="293"/>
      <c r="Q293" s="293"/>
      <c r="R293" s="293"/>
      <c r="S293" s="293"/>
      <c r="T293" s="293"/>
      <c r="U293" s="293"/>
      <c r="V293" s="293"/>
      <c r="W293" s="293"/>
      <c r="X293" s="293"/>
      <c r="Y293" s="293"/>
      <c r="Z293" s="293"/>
      <c r="AA293" s="293"/>
      <c r="AB293" s="293"/>
      <c r="AC293" s="293"/>
      <c r="AD293" s="293"/>
    </row>
    <row r="294" spans="1:30" ht="14.25" customHeight="1" x14ac:dyDescent="0.3">
      <c r="A294" s="293"/>
      <c r="B294" s="293"/>
      <c r="C294" s="293"/>
      <c r="D294" s="293"/>
      <c r="E294" s="293"/>
      <c r="F294" s="293"/>
      <c r="G294" s="293"/>
      <c r="H294" s="293"/>
      <c r="I294" s="293"/>
      <c r="J294" s="293"/>
      <c r="K294" s="293"/>
      <c r="L294" s="293"/>
      <c r="M294" s="293"/>
      <c r="N294" s="293"/>
      <c r="O294" s="293"/>
      <c r="P294" s="293"/>
      <c r="Q294" s="293"/>
      <c r="R294" s="293"/>
      <c r="S294" s="293"/>
      <c r="T294" s="293"/>
      <c r="U294" s="293"/>
      <c r="V294" s="293"/>
      <c r="W294" s="293"/>
      <c r="X294" s="293"/>
      <c r="Y294" s="293"/>
      <c r="Z294" s="293"/>
      <c r="AA294" s="293"/>
      <c r="AB294" s="293"/>
      <c r="AC294" s="293"/>
      <c r="AD294" s="293"/>
    </row>
    <row r="295" spans="1:30" ht="14.25" customHeight="1" x14ac:dyDescent="0.3">
      <c r="A295" s="293"/>
      <c r="B295" s="293"/>
      <c r="C295" s="293"/>
      <c r="D295" s="293"/>
      <c r="E295" s="293"/>
      <c r="F295" s="293"/>
      <c r="G295" s="293"/>
      <c r="H295" s="293"/>
      <c r="I295" s="293"/>
      <c r="J295" s="293"/>
      <c r="K295" s="293"/>
      <c r="L295" s="293"/>
      <c r="M295" s="293"/>
      <c r="N295" s="293"/>
      <c r="O295" s="293"/>
      <c r="P295" s="293"/>
      <c r="Q295" s="293"/>
      <c r="R295" s="293"/>
      <c r="S295" s="293"/>
      <c r="T295" s="293"/>
      <c r="U295" s="293"/>
      <c r="V295" s="293"/>
      <c r="W295" s="293"/>
      <c r="X295" s="293"/>
      <c r="Y295" s="293"/>
      <c r="Z295" s="293"/>
      <c r="AA295" s="293"/>
      <c r="AB295" s="293"/>
      <c r="AC295" s="293"/>
      <c r="AD295" s="293"/>
    </row>
    <row r="296" spans="1:30" ht="14.25" customHeight="1" x14ac:dyDescent="0.3">
      <c r="A296" s="293"/>
      <c r="B296" s="293"/>
      <c r="C296" s="293"/>
      <c r="D296" s="293"/>
      <c r="E296" s="293"/>
      <c r="F296" s="293"/>
      <c r="G296" s="293"/>
      <c r="H296" s="293"/>
      <c r="I296" s="293"/>
      <c r="J296" s="293"/>
      <c r="K296" s="293"/>
      <c r="L296" s="293"/>
      <c r="M296" s="293"/>
      <c r="N296" s="293"/>
      <c r="O296" s="293"/>
      <c r="P296" s="293"/>
      <c r="Q296" s="293"/>
      <c r="R296" s="293"/>
      <c r="S296" s="293"/>
      <c r="T296" s="293"/>
      <c r="U296" s="293"/>
      <c r="V296" s="293"/>
      <c r="W296" s="293"/>
      <c r="X296" s="293"/>
      <c r="Y296" s="293"/>
      <c r="Z296" s="293"/>
      <c r="AA296" s="293"/>
      <c r="AB296" s="293"/>
      <c r="AC296" s="293"/>
      <c r="AD296" s="293"/>
    </row>
    <row r="297" spans="1:30" ht="14.25" customHeight="1" x14ac:dyDescent="0.3">
      <c r="A297" s="293"/>
      <c r="B297" s="293"/>
      <c r="C297" s="293"/>
      <c r="D297" s="293"/>
      <c r="E297" s="293"/>
      <c r="F297" s="293"/>
      <c r="G297" s="293"/>
      <c r="H297" s="293"/>
      <c r="I297" s="293"/>
      <c r="J297" s="293"/>
      <c r="K297" s="293"/>
      <c r="L297" s="293"/>
      <c r="M297" s="293"/>
      <c r="N297" s="293"/>
      <c r="O297" s="293"/>
      <c r="P297" s="293"/>
      <c r="Q297" s="293"/>
      <c r="R297" s="293"/>
      <c r="S297" s="293"/>
      <c r="T297" s="293"/>
      <c r="U297" s="293"/>
      <c r="V297" s="293"/>
      <c r="W297" s="293"/>
      <c r="X297" s="293"/>
      <c r="Y297" s="293"/>
      <c r="Z297" s="293"/>
      <c r="AA297" s="293"/>
      <c r="AB297" s="293"/>
      <c r="AC297" s="293"/>
      <c r="AD297" s="293"/>
    </row>
    <row r="298" spans="1:30" ht="14.25" customHeight="1" x14ac:dyDescent="0.3">
      <c r="A298" s="293"/>
      <c r="B298" s="293"/>
      <c r="C298" s="293"/>
      <c r="D298" s="293"/>
      <c r="E298" s="293"/>
      <c r="F298" s="293"/>
      <c r="G298" s="293"/>
      <c r="H298" s="293"/>
      <c r="I298" s="293"/>
      <c r="J298" s="293"/>
      <c r="K298" s="293"/>
      <c r="L298" s="293"/>
      <c r="M298" s="293"/>
      <c r="N298" s="293"/>
      <c r="O298" s="293"/>
      <c r="P298" s="293"/>
      <c r="Q298" s="293"/>
      <c r="R298" s="293"/>
      <c r="S298" s="293"/>
      <c r="T298" s="293"/>
      <c r="U298" s="293"/>
      <c r="V298" s="293"/>
      <c r="W298" s="293"/>
      <c r="X298" s="293"/>
      <c r="Y298" s="293"/>
      <c r="Z298" s="293"/>
      <c r="AA298" s="293"/>
      <c r="AB298" s="293"/>
      <c r="AC298" s="293"/>
      <c r="AD298" s="293"/>
    </row>
    <row r="299" spans="1:30" ht="14.25" customHeight="1" x14ac:dyDescent="0.3">
      <c r="A299" s="293"/>
      <c r="B299" s="293"/>
      <c r="C299" s="293"/>
      <c r="D299" s="293"/>
      <c r="E299" s="293"/>
      <c r="F299" s="293"/>
      <c r="G299" s="293"/>
      <c r="H299" s="293"/>
      <c r="I299" s="293"/>
      <c r="J299" s="293"/>
      <c r="K299" s="293"/>
      <c r="L299" s="293"/>
      <c r="M299" s="293"/>
      <c r="N299" s="293"/>
      <c r="O299" s="293"/>
      <c r="P299" s="293"/>
      <c r="Q299" s="293"/>
      <c r="R299" s="293"/>
      <c r="S299" s="293"/>
      <c r="T299" s="293"/>
      <c r="U299" s="293"/>
      <c r="V299" s="293"/>
      <c r="W299" s="293"/>
      <c r="X299" s="293"/>
      <c r="Y299" s="293"/>
      <c r="Z299" s="293"/>
      <c r="AA299" s="293"/>
      <c r="AB299" s="293"/>
      <c r="AC299" s="293"/>
      <c r="AD299" s="293"/>
    </row>
    <row r="300" spans="1:30" ht="14.25" customHeight="1" x14ac:dyDescent="0.3">
      <c r="A300" s="293"/>
      <c r="B300" s="293"/>
      <c r="C300" s="293"/>
      <c r="D300" s="293"/>
      <c r="E300" s="293"/>
      <c r="F300" s="293"/>
      <c r="G300" s="293"/>
      <c r="H300" s="293"/>
      <c r="I300" s="293"/>
      <c r="J300" s="293"/>
      <c r="K300" s="293"/>
      <c r="L300" s="293"/>
      <c r="M300" s="293"/>
      <c r="N300" s="293"/>
      <c r="O300" s="293"/>
      <c r="P300" s="293"/>
      <c r="Q300" s="293"/>
      <c r="R300" s="293"/>
      <c r="S300" s="293"/>
      <c r="T300" s="293"/>
      <c r="U300" s="293"/>
      <c r="V300" s="293"/>
      <c r="W300" s="293"/>
      <c r="X300" s="293"/>
      <c r="Y300" s="293"/>
      <c r="Z300" s="293"/>
      <c r="AA300" s="293"/>
      <c r="AB300" s="293"/>
      <c r="AC300" s="293"/>
      <c r="AD300" s="293"/>
    </row>
    <row r="301" spans="1:30" ht="14.25" customHeight="1" x14ac:dyDescent="0.3">
      <c r="A301" s="293"/>
      <c r="B301" s="293"/>
      <c r="C301" s="293"/>
      <c r="D301" s="293"/>
      <c r="E301" s="293"/>
      <c r="F301" s="293"/>
      <c r="G301" s="293"/>
      <c r="H301" s="293"/>
      <c r="I301" s="293"/>
      <c r="J301" s="293"/>
      <c r="K301" s="293"/>
      <c r="L301" s="293"/>
      <c r="M301" s="293"/>
      <c r="N301" s="293"/>
      <c r="O301" s="293"/>
      <c r="P301" s="293"/>
      <c r="Q301" s="293"/>
      <c r="R301" s="293"/>
      <c r="S301" s="293"/>
      <c r="T301" s="293"/>
      <c r="U301" s="293"/>
      <c r="V301" s="293"/>
      <c r="W301" s="293"/>
      <c r="X301" s="293"/>
      <c r="Y301" s="293"/>
      <c r="Z301" s="293"/>
      <c r="AA301" s="293"/>
      <c r="AB301" s="293"/>
      <c r="AC301" s="293"/>
      <c r="AD301" s="293"/>
    </row>
    <row r="302" spans="1:30" ht="14.25" customHeight="1" x14ac:dyDescent="0.3">
      <c r="A302" s="293"/>
      <c r="B302" s="293"/>
      <c r="C302" s="293"/>
      <c r="D302" s="293"/>
      <c r="E302" s="293"/>
      <c r="F302" s="293"/>
      <c r="G302" s="293"/>
      <c r="H302" s="293"/>
      <c r="I302" s="293"/>
      <c r="J302" s="293"/>
      <c r="K302" s="293"/>
      <c r="L302" s="293"/>
      <c r="M302" s="293"/>
      <c r="N302" s="293"/>
      <c r="O302" s="293"/>
      <c r="P302" s="293"/>
      <c r="Q302" s="293"/>
      <c r="R302" s="293"/>
      <c r="S302" s="293"/>
      <c r="T302" s="293"/>
      <c r="U302" s="293"/>
      <c r="V302" s="293"/>
      <c r="W302" s="293"/>
      <c r="X302" s="293"/>
      <c r="Y302" s="293"/>
      <c r="Z302" s="293"/>
      <c r="AA302" s="293"/>
      <c r="AB302" s="293"/>
      <c r="AC302" s="293"/>
      <c r="AD302" s="293"/>
    </row>
    <row r="303" spans="1:30" ht="14.25" customHeight="1" x14ac:dyDescent="0.3">
      <c r="A303" s="293"/>
      <c r="B303" s="293"/>
      <c r="C303" s="293"/>
      <c r="D303" s="293"/>
      <c r="E303" s="293"/>
      <c r="F303" s="293"/>
      <c r="G303" s="293"/>
      <c r="H303" s="293"/>
      <c r="I303" s="293"/>
      <c r="J303" s="293"/>
      <c r="K303" s="293"/>
      <c r="L303" s="293"/>
      <c r="M303" s="293"/>
      <c r="N303" s="293"/>
      <c r="O303" s="293"/>
      <c r="P303" s="293"/>
      <c r="Q303" s="293"/>
      <c r="R303" s="293"/>
      <c r="S303" s="293"/>
      <c r="T303" s="293"/>
      <c r="U303" s="293"/>
      <c r="V303" s="293"/>
      <c r="W303" s="293"/>
      <c r="X303" s="293"/>
      <c r="Y303" s="293"/>
      <c r="Z303" s="293"/>
      <c r="AA303" s="293"/>
      <c r="AB303" s="293"/>
      <c r="AC303" s="293"/>
      <c r="AD303" s="293"/>
    </row>
    <row r="304" spans="1:30" ht="14.25" customHeight="1" x14ac:dyDescent="0.3">
      <c r="A304" s="293"/>
      <c r="B304" s="293"/>
      <c r="C304" s="293"/>
      <c r="D304" s="293"/>
      <c r="E304" s="293"/>
      <c r="F304" s="293"/>
      <c r="G304" s="293"/>
      <c r="H304" s="293"/>
      <c r="I304" s="293"/>
      <c r="J304" s="293"/>
      <c r="K304" s="293"/>
      <c r="L304" s="293"/>
      <c r="M304" s="293"/>
      <c r="N304" s="293"/>
      <c r="O304" s="293"/>
      <c r="P304" s="293"/>
      <c r="Q304" s="293"/>
      <c r="R304" s="293"/>
      <c r="S304" s="293"/>
      <c r="T304" s="293"/>
      <c r="U304" s="293"/>
      <c r="V304" s="293"/>
      <c r="W304" s="293"/>
      <c r="X304" s="293"/>
      <c r="Y304" s="293"/>
      <c r="Z304" s="293"/>
      <c r="AA304" s="293"/>
      <c r="AB304" s="293"/>
      <c r="AC304" s="293"/>
      <c r="AD304" s="293"/>
    </row>
    <row r="305" spans="1:30" ht="14.25" customHeight="1" x14ac:dyDescent="0.3">
      <c r="A305" s="293"/>
      <c r="B305" s="293"/>
      <c r="C305" s="293"/>
      <c r="D305" s="293"/>
      <c r="E305" s="293"/>
      <c r="F305" s="293"/>
      <c r="G305" s="293"/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3"/>
      <c r="S305" s="293"/>
      <c r="T305" s="293"/>
      <c r="U305" s="293"/>
      <c r="V305" s="293"/>
      <c r="W305" s="293"/>
      <c r="X305" s="293"/>
      <c r="Y305" s="293"/>
      <c r="Z305" s="293"/>
      <c r="AA305" s="293"/>
      <c r="AB305" s="293"/>
      <c r="AC305" s="293"/>
      <c r="AD305" s="293"/>
    </row>
    <row r="306" spans="1:30" ht="14.25" customHeight="1" x14ac:dyDescent="0.3">
      <c r="A306" s="293"/>
      <c r="B306" s="293"/>
      <c r="C306" s="293"/>
      <c r="D306" s="293"/>
      <c r="E306" s="293"/>
      <c r="F306" s="293"/>
      <c r="G306" s="293"/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3"/>
      <c r="S306" s="293"/>
      <c r="T306" s="293"/>
      <c r="U306" s="293"/>
      <c r="V306" s="293"/>
      <c r="W306" s="293"/>
      <c r="X306" s="293"/>
      <c r="Y306" s="293"/>
      <c r="Z306" s="293"/>
      <c r="AA306" s="293"/>
      <c r="AB306" s="293"/>
      <c r="AC306" s="293"/>
      <c r="AD306" s="293"/>
    </row>
    <row r="307" spans="1:30" ht="14.25" customHeight="1" x14ac:dyDescent="0.3">
      <c r="A307" s="293"/>
      <c r="B307" s="293"/>
      <c r="C307" s="293"/>
      <c r="D307" s="293"/>
      <c r="E307" s="293"/>
      <c r="F307" s="293"/>
      <c r="G307" s="293"/>
      <c r="H307" s="293"/>
      <c r="I307" s="293"/>
      <c r="J307" s="293"/>
      <c r="K307" s="293"/>
      <c r="L307" s="293"/>
      <c r="M307" s="293"/>
      <c r="N307" s="293"/>
      <c r="O307" s="293"/>
      <c r="P307" s="293"/>
      <c r="Q307" s="293"/>
      <c r="R307" s="293"/>
      <c r="S307" s="293"/>
      <c r="T307" s="293"/>
      <c r="U307" s="293"/>
      <c r="V307" s="293"/>
      <c r="W307" s="293"/>
      <c r="X307" s="293"/>
      <c r="Y307" s="293"/>
      <c r="Z307" s="293"/>
      <c r="AA307" s="293"/>
      <c r="AB307" s="293"/>
      <c r="AC307" s="293"/>
      <c r="AD307" s="293"/>
    </row>
    <row r="308" spans="1:30" ht="14.25" customHeight="1" x14ac:dyDescent="0.3">
      <c r="A308" s="293"/>
      <c r="B308" s="293"/>
      <c r="C308" s="293"/>
      <c r="D308" s="293"/>
      <c r="E308" s="293"/>
      <c r="F308" s="293"/>
      <c r="G308" s="293"/>
      <c r="H308" s="293"/>
      <c r="I308" s="293"/>
      <c r="J308" s="293"/>
      <c r="K308" s="293"/>
      <c r="L308" s="293"/>
      <c r="M308" s="293"/>
      <c r="N308" s="293"/>
      <c r="O308" s="293"/>
      <c r="P308" s="293"/>
      <c r="Q308" s="293"/>
      <c r="R308" s="293"/>
      <c r="S308" s="293"/>
      <c r="T308" s="293"/>
      <c r="U308" s="293"/>
      <c r="V308" s="293"/>
      <c r="W308" s="293"/>
      <c r="X308" s="293"/>
      <c r="Y308" s="293"/>
      <c r="Z308" s="293"/>
      <c r="AA308" s="293"/>
      <c r="AB308" s="293"/>
      <c r="AC308" s="293"/>
      <c r="AD308" s="293"/>
    </row>
    <row r="309" spans="1:30" ht="14.25" customHeight="1" x14ac:dyDescent="0.3">
      <c r="A309" s="293"/>
      <c r="B309" s="293"/>
      <c r="C309" s="293"/>
      <c r="D309" s="293"/>
      <c r="E309" s="293"/>
      <c r="F309" s="293"/>
      <c r="G309" s="293"/>
      <c r="H309" s="293"/>
      <c r="I309" s="293"/>
      <c r="J309" s="293"/>
      <c r="K309" s="293"/>
      <c r="L309" s="293"/>
      <c r="M309" s="293"/>
      <c r="N309" s="293"/>
      <c r="O309" s="293"/>
      <c r="P309" s="293"/>
      <c r="Q309" s="293"/>
      <c r="R309" s="293"/>
      <c r="S309" s="293"/>
      <c r="T309" s="293"/>
      <c r="U309" s="293"/>
      <c r="V309" s="293"/>
      <c r="W309" s="293"/>
      <c r="X309" s="293"/>
      <c r="Y309" s="293"/>
      <c r="Z309" s="293"/>
      <c r="AA309" s="293"/>
      <c r="AB309" s="293"/>
      <c r="AC309" s="293"/>
      <c r="AD309" s="293"/>
    </row>
    <row r="310" spans="1:30" ht="14.25" customHeight="1" x14ac:dyDescent="0.3">
      <c r="A310" s="293"/>
      <c r="B310" s="293"/>
      <c r="C310" s="293"/>
      <c r="D310" s="293"/>
      <c r="E310" s="293"/>
      <c r="F310" s="293"/>
      <c r="G310" s="293"/>
      <c r="H310" s="293"/>
      <c r="I310" s="293"/>
      <c r="J310" s="293"/>
      <c r="K310" s="293"/>
      <c r="L310" s="293"/>
      <c r="M310" s="293"/>
      <c r="N310" s="293"/>
      <c r="O310" s="293"/>
      <c r="P310" s="293"/>
      <c r="Q310" s="293"/>
      <c r="R310" s="293"/>
      <c r="S310" s="293"/>
      <c r="T310" s="293"/>
      <c r="U310" s="293"/>
      <c r="V310" s="293"/>
      <c r="W310" s="293"/>
      <c r="X310" s="293"/>
      <c r="Y310" s="293"/>
      <c r="Z310" s="293"/>
      <c r="AA310" s="293"/>
      <c r="AB310" s="293"/>
      <c r="AC310" s="293"/>
      <c r="AD310" s="293"/>
    </row>
    <row r="311" spans="1:30" ht="14.25" customHeight="1" x14ac:dyDescent="0.3">
      <c r="A311" s="293"/>
      <c r="B311" s="293"/>
      <c r="C311" s="293"/>
      <c r="D311" s="293"/>
      <c r="E311" s="293"/>
      <c r="F311" s="293"/>
      <c r="G311" s="293"/>
      <c r="H311" s="293"/>
      <c r="I311" s="293"/>
      <c r="J311" s="293"/>
      <c r="K311" s="293"/>
      <c r="L311" s="293"/>
      <c r="M311" s="293"/>
      <c r="N311" s="293"/>
      <c r="O311" s="293"/>
      <c r="P311" s="293"/>
      <c r="Q311" s="293"/>
      <c r="R311" s="293"/>
      <c r="S311" s="293"/>
      <c r="T311" s="293"/>
      <c r="U311" s="293"/>
      <c r="V311" s="293"/>
      <c r="W311" s="293"/>
      <c r="X311" s="293"/>
      <c r="Y311" s="293"/>
      <c r="Z311" s="293"/>
      <c r="AA311" s="293"/>
      <c r="AB311" s="293"/>
      <c r="AC311" s="293"/>
      <c r="AD311" s="293"/>
    </row>
    <row r="312" spans="1:30" ht="14.25" customHeight="1" x14ac:dyDescent="0.3">
      <c r="A312" s="293"/>
      <c r="B312" s="293"/>
      <c r="C312" s="293"/>
      <c r="D312" s="293"/>
      <c r="E312" s="293"/>
      <c r="F312" s="293"/>
      <c r="G312" s="293"/>
      <c r="H312" s="293"/>
      <c r="I312" s="293"/>
      <c r="J312" s="293"/>
      <c r="K312" s="293"/>
      <c r="L312" s="293"/>
      <c r="M312" s="293"/>
      <c r="N312" s="293"/>
      <c r="O312" s="293"/>
      <c r="P312" s="293"/>
      <c r="Q312" s="293"/>
      <c r="R312" s="293"/>
      <c r="S312" s="293"/>
      <c r="T312" s="293"/>
      <c r="U312" s="293"/>
      <c r="V312" s="293"/>
      <c r="W312" s="293"/>
      <c r="X312" s="293"/>
      <c r="Y312" s="293"/>
      <c r="Z312" s="293"/>
      <c r="AA312" s="293"/>
      <c r="AB312" s="293"/>
      <c r="AC312" s="293"/>
      <c r="AD312" s="293"/>
    </row>
    <row r="313" spans="1:30" ht="14.25" customHeight="1" x14ac:dyDescent="0.3">
      <c r="A313" s="293"/>
      <c r="B313" s="293"/>
      <c r="C313" s="293"/>
      <c r="D313" s="293"/>
      <c r="E313" s="293"/>
      <c r="F313" s="293"/>
      <c r="G313" s="293"/>
      <c r="H313" s="293"/>
      <c r="I313" s="293"/>
      <c r="J313" s="293"/>
      <c r="K313" s="293"/>
      <c r="L313" s="293"/>
      <c r="M313" s="293"/>
      <c r="N313" s="293"/>
      <c r="O313" s="293"/>
      <c r="P313" s="293"/>
      <c r="Q313" s="293"/>
      <c r="R313" s="293"/>
      <c r="S313" s="293"/>
      <c r="T313" s="293"/>
      <c r="U313" s="293"/>
      <c r="V313" s="293"/>
      <c r="W313" s="293"/>
      <c r="X313" s="293"/>
      <c r="Y313" s="293"/>
      <c r="Z313" s="293"/>
      <c r="AA313" s="293"/>
      <c r="AB313" s="293"/>
      <c r="AC313" s="293"/>
      <c r="AD313" s="293"/>
    </row>
    <row r="314" spans="1:30" ht="14.25" customHeight="1" x14ac:dyDescent="0.3">
      <c r="A314" s="293"/>
      <c r="B314" s="293"/>
      <c r="C314" s="293"/>
      <c r="D314" s="293"/>
      <c r="E314" s="293"/>
      <c r="F314" s="293"/>
      <c r="G314" s="293"/>
      <c r="H314" s="293"/>
      <c r="I314" s="293"/>
      <c r="J314" s="293"/>
      <c r="K314" s="293"/>
      <c r="L314" s="293"/>
      <c r="M314" s="293"/>
      <c r="N314" s="293"/>
      <c r="O314" s="293"/>
      <c r="P314" s="293"/>
      <c r="Q314" s="293"/>
      <c r="R314" s="293"/>
      <c r="S314" s="293"/>
      <c r="T314" s="293"/>
      <c r="U314" s="293"/>
      <c r="V314" s="293"/>
      <c r="W314" s="293"/>
      <c r="X314" s="293"/>
      <c r="Y314" s="293"/>
      <c r="Z314" s="293"/>
      <c r="AA314" s="293"/>
      <c r="AB314" s="293"/>
      <c r="AC314" s="293"/>
      <c r="AD314" s="293"/>
    </row>
    <row r="315" spans="1:30" ht="14.25" customHeight="1" x14ac:dyDescent="0.3">
      <c r="A315" s="293"/>
      <c r="B315" s="293"/>
      <c r="C315" s="293"/>
      <c r="D315" s="293"/>
      <c r="E315" s="293"/>
      <c r="F315" s="293"/>
      <c r="G315" s="293"/>
      <c r="H315" s="293"/>
      <c r="I315" s="293"/>
      <c r="J315" s="293"/>
      <c r="K315" s="293"/>
      <c r="L315" s="293"/>
      <c r="M315" s="293"/>
      <c r="N315" s="293"/>
      <c r="O315" s="293"/>
      <c r="P315" s="293"/>
      <c r="Q315" s="293"/>
      <c r="R315" s="293"/>
      <c r="S315" s="293"/>
      <c r="T315" s="293"/>
      <c r="U315" s="293"/>
      <c r="V315" s="293"/>
      <c r="W315" s="293"/>
      <c r="X315" s="293"/>
      <c r="Y315" s="293"/>
      <c r="Z315" s="293"/>
      <c r="AA315" s="293"/>
      <c r="AB315" s="293"/>
      <c r="AC315" s="293"/>
      <c r="AD315" s="293"/>
    </row>
    <row r="316" spans="1:30" ht="14.25" customHeight="1" x14ac:dyDescent="0.3">
      <c r="A316" s="293"/>
      <c r="B316" s="293"/>
      <c r="C316" s="293"/>
      <c r="D316" s="293"/>
      <c r="E316" s="293"/>
      <c r="F316" s="293"/>
      <c r="G316" s="293"/>
      <c r="H316" s="293"/>
      <c r="I316" s="293"/>
      <c r="J316" s="293"/>
      <c r="K316" s="293"/>
      <c r="L316" s="293"/>
      <c r="M316" s="293"/>
      <c r="N316" s="293"/>
      <c r="O316" s="293"/>
      <c r="P316" s="293"/>
      <c r="Q316" s="293"/>
      <c r="R316" s="293"/>
      <c r="S316" s="293"/>
      <c r="T316" s="293"/>
      <c r="U316" s="293"/>
      <c r="V316" s="293"/>
      <c r="W316" s="293"/>
      <c r="X316" s="293"/>
      <c r="Y316" s="293"/>
      <c r="Z316" s="293"/>
      <c r="AA316" s="293"/>
      <c r="AB316" s="293"/>
      <c r="AC316" s="293"/>
      <c r="AD316" s="293"/>
    </row>
    <row r="317" spans="1:30" ht="14.25" customHeight="1" x14ac:dyDescent="0.3">
      <c r="A317" s="293"/>
      <c r="B317" s="293"/>
      <c r="C317" s="293"/>
      <c r="D317" s="293"/>
      <c r="E317" s="293"/>
      <c r="F317" s="293"/>
      <c r="G317" s="293"/>
      <c r="H317" s="293"/>
      <c r="I317" s="293"/>
      <c r="J317" s="293"/>
      <c r="K317" s="293"/>
      <c r="L317" s="293"/>
      <c r="M317" s="293"/>
      <c r="N317" s="293"/>
      <c r="O317" s="293"/>
      <c r="P317" s="293"/>
      <c r="Q317" s="293"/>
      <c r="R317" s="293"/>
      <c r="S317" s="293"/>
      <c r="T317" s="293"/>
      <c r="U317" s="293"/>
      <c r="V317" s="293"/>
      <c r="W317" s="293"/>
      <c r="X317" s="293"/>
      <c r="Y317" s="293"/>
      <c r="Z317" s="293"/>
      <c r="AA317" s="293"/>
      <c r="AB317" s="293"/>
      <c r="AC317" s="293"/>
      <c r="AD317" s="293"/>
    </row>
    <row r="318" spans="1:30" ht="14.25" customHeight="1" x14ac:dyDescent="0.3">
      <c r="A318" s="293"/>
      <c r="B318" s="293"/>
      <c r="C318" s="293"/>
      <c r="D318" s="293"/>
      <c r="E318" s="293"/>
      <c r="F318" s="293"/>
      <c r="G318" s="293"/>
      <c r="H318" s="293"/>
      <c r="I318" s="293"/>
      <c r="J318" s="293"/>
      <c r="K318" s="293"/>
      <c r="L318" s="293"/>
      <c r="M318" s="293"/>
      <c r="N318" s="293"/>
      <c r="O318" s="293"/>
      <c r="P318" s="293"/>
      <c r="Q318" s="293"/>
      <c r="R318" s="293"/>
      <c r="S318" s="293"/>
      <c r="T318" s="293"/>
      <c r="U318" s="293"/>
      <c r="V318" s="293"/>
      <c r="W318" s="293"/>
      <c r="X318" s="293"/>
      <c r="Y318" s="293"/>
      <c r="Z318" s="293"/>
      <c r="AA318" s="293"/>
      <c r="AB318" s="293"/>
      <c r="AC318" s="293"/>
      <c r="AD318" s="293"/>
    </row>
    <row r="319" spans="1:30" ht="14.25" customHeight="1" x14ac:dyDescent="0.3">
      <c r="A319" s="293"/>
      <c r="B319" s="293"/>
      <c r="C319" s="293"/>
      <c r="D319" s="293"/>
      <c r="E319" s="293"/>
      <c r="F319" s="293"/>
      <c r="G319" s="293"/>
      <c r="H319" s="293"/>
      <c r="I319" s="293"/>
      <c r="J319" s="293"/>
      <c r="K319" s="293"/>
      <c r="L319" s="293"/>
      <c r="M319" s="293"/>
      <c r="N319" s="293"/>
      <c r="O319" s="293"/>
      <c r="P319" s="293"/>
      <c r="Q319" s="293"/>
      <c r="R319" s="293"/>
      <c r="S319" s="293"/>
      <c r="T319" s="293"/>
      <c r="U319" s="293"/>
      <c r="V319" s="293"/>
      <c r="W319" s="293"/>
      <c r="X319" s="293"/>
      <c r="Y319" s="293"/>
      <c r="Z319" s="293"/>
      <c r="AA319" s="293"/>
      <c r="AB319" s="293"/>
      <c r="AC319" s="293"/>
      <c r="AD319" s="293"/>
    </row>
    <row r="320" spans="1:30" ht="14.25" customHeight="1" x14ac:dyDescent="0.3">
      <c r="A320" s="293"/>
      <c r="B320" s="293"/>
      <c r="C320" s="293"/>
      <c r="D320" s="293"/>
      <c r="E320" s="293"/>
      <c r="F320" s="293"/>
      <c r="G320" s="293"/>
      <c r="H320" s="293"/>
      <c r="I320" s="293"/>
      <c r="J320" s="293"/>
      <c r="K320" s="293"/>
      <c r="L320" s="293"/>
      <c r="M320" s="293"/>
      <c r="N320" s="293"/>
      <c r="O320" s="293"/>
      <c r="P320" s="293"/>
      <c r="Q320" s="293"/>
      <c r="R320" s="293"/>
      <c r="S320" s="293"/>
      <c r="T320" s="293"/>
      <c r="U320" s="293"/>
      <c r="V320" s="293"/>
      <c r="W320" s="293"/>
      <c r="X320" s="293"/>
      <c r="Y320" s="293"/>
      <c r="Z320" s="293"/>
      <c r="AA320" s="293"/>
      <c r="AB320" s="293"/>
      <c r="AC320" s="293"/>
      <c r="AD320" s="293"/>
    </row>
    <row r="321" spans="1:30" ht="14.25" customHeight="1" x14ac:dyDescent="0.3">
      <c r="A321" s="293"/>
      <c r="B321" s="293"/>
      <c r="C321" s="293"/>
      <c r="D321" s="293"/>
      <c r="E321" s="293"/>
      <c r="F321" s="293"/>
      <c r="G321" s="293"/>
      <c r="H321" s="293"/>
      <c r="I321" s="293"/>
      <c r="J321" s="293"/>
      <c r="K321" s="293"/>
      <c r="L321" s="293"/>
      <c r="M321" s="293"/>
      <c r="N321" s="293"/>
      <c r="O321" s="293"/>
      <c r="P321" s="293"/>
      <c r="Q321" s="293"/>
      <c r="R321" s="293"/>
      <c r="S321" s="293"/>
      <c r="T321" s="293"/>
      <c r="U321" s="293"/>
      <c r="V321" s="293"/>
      <c r="W321" s="293"/>
      <c r="X321" s="293"/>
      <c r="Y321" s="293"/>
      <c r="Z321" s="293"/>
      <c r="AA321" s="293"/>
      <c r="AB321" s="293"/>
      <c r="AC321" s="293"/>
      <c r="AD321" s="293"/>
    </row>
    <row r="322" spans="1:30" ht="14.25" customHeight="1" x14ac:dyDescent="0.3">
      <c r="A322" s="293"/>
      <c r="B322" s="293"/>
      <c r="C322" s="293"/>
      <c r="D322" s="293"/>
      <c r="E322" s="293"/>
      <c r="F322" s="293"/>
      <c r="G322" s="293"/>
      <c r="H322" s="293"/>
      <c r="I322" s="293"/>
      <c r="J322" s="293"/>
      <c r="K322" s="293"/>
      <c r="L322" s="293"/>
      <c r="M322" s="293"/>
      <c r="N322" s="293"/>
      <c r="O322" s="293"/>
      <c r="P322" s="293"/>
      <c r="Q322" s="293"/>
      <c r="R322" s="293"/>
      <c r="S322" s="293"/>
      <c r="T322" s="293"/>
      <c r="U322" s="293"/>
      <c r="V322" s="293"/>
      <c r="W322" s="293"/>
      <c r="X322" s="293"/>
      <c r="Y322" s="293"/>
      <c r="Z322" s="293"/>
      <c r="AA322" s="293"/>
      <c r="AB322" s="293"/>
      <c r="AC322" s="293"/>
      <c r="AD322" s="293"/>
    </row>
    <row r="323" spans="1:30" ht="14.25" customHeight="1" x14ac:dyDescent="0.3">
      <c r="A323" s="293"/>
      <c r="B323" s="293"/>
      <c r="C323" s="293"/>
      <c r="D323" s="293"/>
      <c r="E323" s="293"/>
      <c r="F323" s="293"/>
      <c r="G323" s="293"/>
      <c r="H323" s="293"/>
      <c r="I323" s="293"/>
      <c r="J323" s="293"/>
      <c r="K323" s="293"/>
      <c r="L323" s="293"/>
      <c r="M323" s="293"/>
      <c r="N323" s="293"/>
      <c r="O323" s="293"/>
      <c r="P323" s="293"/>
      <c r="Q323" s="293"/>
      <c r="R323" s="293"/>
      <c r="S323" s="293"/>
      <c r="T323" s="293"/>
      <c r="U323" s="293"/>
      <c r="V323" s="293"/>
      <c r="W323" s="293"/>
      <c r="X323" s="293"/>
      <c r="Y323" s="293"/>
      <c r="Z323" s="293"/>
      <c r="AA323" s="293"/>
      <c r="AB323" s="293"/>
      <c r="AC323" s="293"/>
      <c r="AD323" s="293"/>
    </row>
    <row r="324" spans="1:30" ht="14.25" customHeight="1" x14ac:dyDescent="0.3">
      <c r="A324" s="293"/>
      <c r="B324" s="293"/>
      <c r="C324" s="293"/>
      <c r="D324" s="293"/>
      <c r="E324" s="293"/>
      <c r="F324" s="293"/>
      <c r="G324" s="293"/>
      <c r="H324" s="293"/>
      <c r="I324" s="293"/>
      <c r="J324" s="293"/>
      <c r="K324" s="293"/>
      <c r="L324" s="293"/>
      <c r="M324" s="293"/>
      <c r="N324" s="293"/>
      <c r="O324" s="293"/>
      <c r="P324" s="293"/>
      <c r="Q324" s="293"/>
      <c r="R324" s="293"/>
      <c r="S324" s="293"/>
      <c r="T324" s="293"/>
      <c r="U324" s="293"/>
      <c r="V324" s="293"/>
      <c r="W324" s="293"/>
      <c r="X324" s="293"/>
      <c r="Y324" s="293"/>
      <c r="Z324" s="293"/>
      <c r="AA324" s="293"/>
      <c r="AB324" s="293"/>
      <c r="AC324" s="293"/>
      <c r="AD324" s="293"/>
    </row>
    <row r="325" spans="1:30" ht="14.25" customHeight="1" x14ac:dyDescent="0.3">
      <c r="A325" s="293"/>
      <c r="B325" s="293"/>
      <c r="C325" s="293"/>
      <c r="D325" s="293"/>
      <c r="E325" s="293"/>
      <c r="F325" s="293"/>
      <c r="G325" s="293"/>
      <c r="H325" s="293"/>
      <c r="I325" s="293"/>
      <c r="J325" s="293"/>
      <c r="K325" s="293"/>
      <c r="L325" s="293"/>
      <c r="M325" s="293"/>
      <c r="N325" s="293"/>
      <c r="O325" s="293"/>
      <c r="P325" s="293"/>
      <c r="Q325" s="293"/>
      <c r="R325" s="293"/>
      <c r="S325" s="293"/>
      <c r="T325" s="293"/>
      <c r="U325" s="293"/>
      <c r="V325" s="293"/>
      <c r="W325" s="293"/>
      <c r="X325" s="293"/>
      <c r="Y325" s="293"/>
      <c r="Z325" s="293"/>
      <c r="AA325" s="293"/>
      <c r="AB325" s="293"/>
      <c r="AC325" s="293"/>
      <c r="AD325" s="293"/>
    </row>
    <row r="326" spans="1:30" ht="14.25" customHeight="1" x14ac:dyDescent="0.3">
      <c r="A326" s="293"/>
      <c r="B326" s="293"/>
      <c r="C326" s="293"/>
      <c r="D326" s="293"/>
      <c r="E326" s="293"/>
      <c r="F326" s="293"/>
      <c r="G326" s="293"/>
      <c r="H326" s="293"/>
      <c r="I326" s="293"/>
      <c r="J326" s="293"/>
      <c r="K326" s="293"/>
      <c r="L326" s="293"/>
      <c r="M326" s="293"/>
      <c r="N326" s="293"/>
      <c r="O326" s="293"/>
      <c r="P326" s="293"/>
      <c r="Q326" s="293"/>
      <c r="R326" s="293"/>
      <c r="S326" s="293"/>
      <c r="T326" s="293"/>
      <c r="U326" s="293"/>
      <c r="V326" s="293"/>
      <c r="W326" s="293"/>
      <c r="X326" s="293"/>
      <c r="Y326" s="293"/>
      <c r="Z326" s="293"/>
      <c r="AA326" s="293"/>
      <c r="AB326" s="293"/>
      <c r="AC326" s="293"/>
      <c r="AD326" s="293"/>
    </row>
    <row r="327" spans="1:30" ht="14.25" customHeight="1" x14ac:dyDescent="0.3">
      <c r="A327" s="293"/>
      <c r="B327" s="293"/>
      <c r="C327" s="293"/>
      <c r="D327" s="293"/>
      <c r="E327" s="293"/>
      <c r="F327" s="293"/>
      <c r="G327" s="293"/>
      <c r="H327" s="293"/>
      <c r="I327" s="293"/>
      <c r="J327" s="293"/>
      <c r="K327" s="293"/>
      <c r="L327" s="293"/>
      <c r="M327" s="293"/>
      <c r="N327" s="293"/>
      <c r="O327" s="293"/>
      <c r="P327" s="293"/>
      <c r="Q327" s="293"/>
      <c r="R327" s="293"/>
      <c r="S327" s="293"/>
      <c r="T327" s="293"/>
      <c r="U327" s="293"/>
      <c r="V327" s="293"/>
      <c r="W327" s="293"/>
      <c r="X327" s="293"/>
      <c r="Y327" s="293"/>
      <c r="Z327" s="293"/>
      <c r="AA327" s="293"/>
      <c r="AB327" s="293"/>
      <c r="AC327" s="293"/>
      <c r="AD327" s="293"/>
    </row>
    <row r="328" spans="1:30" ht="14.25" customHeight="1" x14ac:dyDescent="0.3">
      <c r="A328" s="293"/>
      <c r="B328" s="293"/>
      <c r="C328" s="293"/>
      <c r="D328" s="293"/>
      <c r="E328" s="293"/>
      <c r="F328" s="293"/>
      <c r="G328" s="293"/>
      <c r="H328" s="293"/>
      <c r="I328" s="293"/>
      <c r="J328" s="293"/>
      <c r="K328" s="293"/>
      <c r="L328" s="293"/>
      <c r="M328" s="293"/>
      <c r="N328" s="293"/>
      <c r="O328" s="293"/>
      <c r="P328" s="293"/>
      <c r="Q328" s="293"/>
      <c r="R328" s="293"/>
      <c r="S328" s="293"/>
      <c r="T328" s="293"/>
      <c r="U328" s="293"/>
      <c r="V328" s="293"/>
      <c r="W328" s="293"/>
      <c r="X328" s="293"/>
      <c r="Y328" s="293"/>
      <c r="Z328" s="293"/>
      <c r="AA328" s="293"/>
      <c r="AB328" s="293"/>
      <c r="AC328" s="293"/>
      <c r="AD328" s="293"/>
    </row>
    <row r="329" spans="1:30" ht="14.25" customHeight="1" x14ac:dyDescent="0.3">
      <c r="A329" s="293"/>
      <c r="B329" s="293"/>
      <c r="C329" s="293"/>
      <c r="D329" s="293"/>
      <c r="E329" s="293"/>
      <c r="F329" s="293"/>
      <c r="G329" s="293"/>
      <c r="H329" s="293"/>
      <c r="I329" s="293"/>
      <c r="J329" s="293"/>
      <c r="K329" s="293"/>
      <c r="L329" s="293"/>
      <c r="M329" s="293"/>
      <c r="N329" s="293"/>
      <c r="O329" s="293"/>
      <c r="P329" s="293"/>
      <c r="Q329" s="293"/>
      <c r="R329" s="293"/>
      <c r="S329" s="293"/>
      <c r="T329" s="293"/>
      <c r="U329" s="293"/>
      <c r="V329" s="293"/>
      <c r="W329" s="293"/>
      <c r="X329" s="293"/>
      <c r="Y329" s="293"/>
      <c r="Z329" s="293"/>
      <c r="AA329" s="293"/>
      <c r="AB329" s="293"/>
      <c r="AC329" s="293"/>
      <c r="AD329" s="293"/>
    </row>
    <row r="330" spans="1:30" ht="14.25" customHeight="1" x14ac:dyDescent="0.3">
      <c r="A330" s="293"/>
      <c r="B330" s="293"/>
      <c r="C330" s="293"/>
      <c r="D330" s="293"/>
      <c r="E330" s="293"/>
      <c r="F330" s="293"/>
      <c r="G330" s="293"/>
      <c r="H330" s="293"/>
      <c r="I330" s="293"/>
      <c r="J330" s="293"/>
      <c r="K330" s="293"/>
      <c r="L330" s="293"/>
      <c r="M330" s="293"/>
      <c r="N330" s="293"/>
      <c r="O330" s="293"/>
      <c r="P330" s="293"/>
      <c r="Q330" s="293"/>
      <c r="R330" s="293"/>
      <c r="S330" s="293"/>
      <c r="T330" s="293"/>
      <c r="U330" s="293"/>
      <c r="V330" s="293"/>
      <c r="W330" s="293"/>
      <c r="X330" s="293"/>
      <c r="Y330" s="293"/>
      <c r="Z330" s="293"/>
      <c r="AA330" s="293"/>
      <c r="AB330" s="293"/>
      <c r="AC330" s="293"/>
      <c r="AD330" s="293"/>
    </row>
    <row r="331" spans="1:30" ht="14.25" customHeight="1" x14ac:dyDescent="0.3">
      <c r="A331" s="293"/>
      <c r="B331" s="293"/>
      <c r="C331" s="293"/>
      <c r="D331" s="293"/>
      <c r="E331" s="293"/>
      <c r="F331" s="293"/>
      <c r="G331" s="293"/>
      <c r="H331" s="293"/>
      <c r="I331" s="293"/>
      <c r="J331" s="293"/>
      <c r="K331" s="293"/>
      <c r="L331" s="293"/>
      <c r="M331" s="293"/>
      <c r="N331" s="293"/>
      <c r="O331" s="293"/>
      <c r="P331" s="293"/>
      <c r="Q331" s="293"/>
      <c r="R331" s="293"/>
      <c r="S331" s="293"/>
      <c r="T331" s="293"/>
      <c r="U331" s="293"/>
      <c r="V331" s="293"/>
      <c r="W331" s="293"/>
      <c r="X331" s="293"/>
      <c r="Y331" s="293"/>
      <c r="Z331" s="293"/>
      <c r="AA331" s="293"/>
      <c r="AB331" s="293"/>
      <c r="AC331" s="293"/>
      <c r="AD331" s="293"/>
    </row>
    <row r="332" spans="1:30" ht="14.25" customHeight="1" x14ac:dyDescent="0.3">
      <c r="A332" s="293"/>
      <c r="B332" s="293"/>
      <c r="C332" s="293"/>
      <c r="D332" s="293"/>
      <c r="E332" s="293"/>
      <c r="F332" s="293"/>
      <c r="G332" s="293"/>
      <c r="H332" s="293"/>
      <c r="I332" s="293"/>
      <c r="J332" s="293"/>
      <c r="K332" s="293"/>
      <c r="L332" s="293"/>
      <c r="M332" s="293"/>
      <c r="N332" s="293"/>
      <c r="O332" s="293"/>
      <c r="P332" s="293"/>
      <c r="Q332" s="293"/>
      <c r="R332" s="293"/>
      <c r="S332" s="293"/>
      <c r="T332" s="293"/>
      <c r="U332" s="293"/>
      <c r="V332" s="293"/>
      <c r="W332" s="293"/>
      <c r="X332" s="293"/>
      <c r="Y332" s="293"/>
      <c r="Z332" s="293"/>
      <c r="AA332" s="293"/>
      <c r="AB332" s="293"/>
      <c r="AC332" s="293"/>
      <c r="AD332" s="293"/>
    </row>
    <row r="333" spans="1:30" ht="14.25" customHeight="1" x14ac:dyDescent="0.3">
      <c r="A333" s="293"/>
      <c r="B333" s="293"/>
      <c r="C333" s="293"/>
      <c r="D333" s="293"/>
      <c r="E333" s="293"/>
      <c r="F333" s="293"/>
      <c r="G333" s="293"/>
      <c r="H333" s="293"/>
      <c r="I333" s="293"/>
      <c r="J333" s="293"/>
      <c r="K333" s="293"/>
      <c r="L333" s="293"/>
      <c r="M333" s="293"/>
      <c r="N333" s="293"/>
      <c r="O333" s="293"/>
      <c r="P333" s="293"/>
      <c r="Q333" s="293"/>
      <c r="R333" s="293"/>
      <c r="S333" s="293"/>
      <c r="T333" s="293"/>
      <c r="U333" s="293"/>
      <c r="V333" s="293"/>
      <c r="W333" s="293"/>
      <c r="X333" s="293"/>
      <c r="Y333" s="293"/>
      <c r="Z333" s="293"/>
      <c r="AA333" s="293"/>
      <c r="AB333" s="293"/>
      <c r="AC333" s="293"/>
      <c r="AD333" s="293"/>
    </row>
    <row r="334" spans="1:30" ht="14.25" customHeight="1" x14ac:dyDescent="0.3">
      <c r="A334" s="293"/>
      <c r="B334" s="293"/>
      <c r="C334" s="293"/>
      <c r="D334" s="293"/>
      <c r="E334" s="293"/>
      <c r="F334" s="293"/>
      <c r="G334" s="293"/>
      <c r="H334" s="293"/>
      <c r="I334" s="293"/>
      <c r="J334" s="293"/>
      <c r="K334" s="293"/>
      <c r="L334" s="293"/>
      <c r="M334" s="293"/>
      <c r="N334" s="293"/>
      <c r="O334" s="293"/>
      <c r="P334" s="293"/>
      <c r="Q334" s="293"/>
      <c r="R334" s="293"/>
      <c r="S334" s="293"/>
      <c r="T334" s="293"/>
      <c r="U334" s="293"/>
      <c r="V334" s="293"/>
      <c r="W334" s="293"/>
      <c r="X334" s="293"/>
      <c r="Y334" s="293"/>
      <c r="Z334" s="293"/>
      <c r="AA334" s="293"/>
      <c r="AB334" s="293"/>
      <c r="AC334" s="293"/>
      <c r="AD334" s="293"/>
    </row>
    <row r="335" spans="1:30" ht="14.25" customHeight="1" x14ac:dyDescent="0.3">
      <c r="A335" s="293"/>
      <c r="B335" s="293"/>
      <c r="C335" s="293"/>
      <c r="D335" s="293"/>
      <c r="E335" s="293"/>
      <c r="F335" s="293"/>
      <c r="G335" s="293"/>
      <c r="H335" s="293"/>
      <c r="I335" s="293"/>
      <c r="J335" s="293"/>
      <c r="K335" s="293"/>
      <c r="L335" s="293"/>
      <c r="M335" s="293"/>
      <c r="N335" s="293"/>
      <c r="O335" s="293"/>
      <c r="P335" s="293"/>
      <c r="Q335" s="293"/>
      <c r="R335" s="293"/>
      <c r="S335" s="293"/>
      <c r="T335" s="293"/>
      <c r="U335" s="293"/>
      <c r="V335" s="293"/>
      <c r="W335" s="293"/>
      <c r="X335" s="293"/>
      <c r="Y335" s="293"/>
      <c r="Z335" s="293"/>
      <c r="AA335" s="293"/>
      <c r="AB335" s="293"/>
      <c r="AC335" s="293"/>
      <c r="AD335" s="293"/>
    </row>
    <row r="336" spans="1:30" ht="14.25" customHeight="1" x14ac:dyDescent="0.3">
      <c r="A336" s="293"/>
      <c r="B336" s="293"/>
      <c r="C336" s="293"/>
      <c r="D336" s="293"/>
      <c r="E336" s="293"/>
      <c r="F336" s="293"/>
      <c r="G336" s="293"/>
      <c r="H336" s="293"/>
      <c r="I336" s="293"/>
      <c r="J336" s="293"/>
      <c r="K336" s="293"/>
      <c r="L336" s="293"/>
      <c r="M336" s="293"/>
      <c r="N336" s="293"/>
      <c r="O336" s="293"/>
      <c r="P336" s="293"/>
      <c r="Q336" s="293"/>
      <c r="R336" s="293"/>
      <c r="S336" s="293"/>
      <c r="T336" s="293"/>
      <c r="U336" s="293"/>
      <c r="V336" s="293"/>
      <c r="W336" s="293"/>
      <c r="X336" s="293"/>
      <c r="Y336" s="293"/>
      <c r="Z336" s="293"/>
      <c r="AA336" s="293"/>
      <c r="AB336" s="293"/>
      <c r="AC336" s="293"/>
      <c r="AD336" s="293"/>
    </row>
    <row r="337" spans="1:30" ht="14.25" customHeight="1" x14ac:dyDescent="0.3">
      <c r="A337" s="293"/>
      <c r="B337" s="293"/>
      <c r="C337" s="293"/>
      <c r="D337" s="293"/>
      <c r="E337" s="293"/>
      <c r="F337" s="293"/>
      <c r="G337" s="293"/>
      <c r="H337" s="293"/>
      <c r="I337" s="293"/>
      <c r="J337" s="293"/>
      <c r="K337" s="293"/>
      <c r="L337" s="293"/>
      <c r="M337" s="293"/>
      <c r="N337" s="293"/>
      <c r="O337" s="293"/>
      <c r="P337" s="293"/>
      <c r="Q337" s="293"/>
      <c r="R337" s="293"/>
      <c r="S337" s="293"/>
      <c r="T337" s="293"/>
      <c r="U337" s="293"/>
      <c r="V337" s="293"/>
      <c r="W337" s="293"/>
      <c r="X337" s="293"/>
      <c r="Y337" s="293"/>
      <c r="Z337" s="293"/>
      <c r="AA337" s="293"/>
      <c r="AB337" s="293"/>
      <c r="AC337" s="293"/>
      <c r="AD337" s="293"/>
    </row>
    <row r="338" spans="1:30" ht="14.25" customHeight="1" x14ac:dyDescent="0.3">
      <c r="A338" s="293"/>
      <c r="B338" s="293"/>
      <c r="C338" s="293"/>
      <c r="D338" s="293"/>
      <c r="E338" s="293"/>
      <c r="F338" s="293"/>
      <c r="G338" s="293"/>
      <c r="H338" s="293"/>
      <c r="I338" s="293"/>
      <c r="J338" s="293"/>
      <c r="K338" s="293"/>
      <c r="L338" s="293"/>
      <c r="M338" s="293"/>
      <c r="N338" s="293"/>
      <c r="O338" s="293"/>
      <c r="P338" s="293"/>
      <c r="Q338" s="293"/>
      <c r="R338" s="293"/>
      <c r="S338" s="293"/>
      <c r="T338" s="293"/>
      <c r="U338" s="293"/>
      <c r="V338" s="293"/>
      <c r="W338" s="293"/>
      <c r="X338" s="293"/>
      <c r="Y338" s="293"/>
      <c r="Z338" s="293"/>
      <c r="AA338" s="293"/>
      <c r="AB338" s="293"/>
      <c r="AC338" s="293"/>
      <c r="AD338" s="293"/>
    </row>
    <row r="339" spans="1:30" ht="14.25" customHeight="1" x14ac:dyDescent="0.3">
      <c r="A339" s="293"/>
      <c r="B339" s="293"/>
      <c r="C339" s="293"/>
      <c r="D339" s="293"/>
      <c r="E339" s="293"/>
      <c r="F339" s="293"/>
      <c r="G339" s="293"/>
      <c r="H339" s="293"/>
      <c r="I339" s="293"/>
      <c r="J339" s="293"/>
      <c r="K339" s="293"/>
      <c r="L339" s="293"/>
      <c r="M339" s="293"/>
      <c r="N339" s="293"/>
      <c r="O339" s="293"/>
      <c r="P339" s="293"/>
      <c r="Q339" s="293"/>
      <c r="R339" s="293"/>
      <c r="S339" s="293"/>
      <c r="T339" s="293"/>
      <c r="U339" s="293"/>
      <c r="V339" s="293"/>
      <c r="W339" s="293"/>
      <c r="X339" s="293"/>
      <c r="Y339" s="293"/>
      <c r="Z339" s="293"/>
      <c r="AA339" s="293"/>
      <c r="AB339" s="293"/>
      <c r="AC339" s="293"/>
      <c r="AD339" s="293"/>
    </row>
    <row r="340" spans="1:30" ht="14.25" customHeight="1" x14ac:dyDescent="0.3">
      <c r="A340" s="293"/>
      <c r="B340" s="293"/>
      <c r="C340" s="293"/>
      <c r="D340" s="293"/>
      <c r="E340" s="293"/>
      <c r="F340" s="293"/>
      <c r="G340" s="293"/>
      <c r="H340" s="293"/>
      <c r="I340" s="293"/>
      <c r="J340" s="293"/>
      <c r="K340" s="293"/>
      <c r="L340" s="293"/>
      <c r="M340" s="293"/>
      <c r="N340" s="293"/>
      <c r="O340" s="293"/>
      <c r="P340" s="293"/>
      <c r="Q340" s="293"/>
      <c r="R340" s="293"/>
      <c r="S340" s="293"/>
      <c r="T340" s="293"/>
      <c r="U340" s="293"/>
      <c r="V340" s="293"/>
      <c r="W340" s="293"/>
      <c r="X340" s="293"/>
      <c r="Y340" s="293"/>
      <c r="Z340" s="293"/>
      <c r="AA340" s="293"/>
      <c r="AB340" s="293"/>
      <c r="AC340" s="293"/>
      <c r="AD340" s="293"/>
    </row>
    <row r="341" spans="1:30" ht="14.25" customHeight="1" x14ac:dyDescent="0.3">
      <c r="A341" s="293"/>
      <c r="B341" s="293"/>
      <c r="C341" s="293"/>
      <c r="D341" s="293"/>
      <c r="E341" s="293"/>
      <c r="F341" s="293"/>
      <c r="G341" s="293"/>
      <c r="H341" s="293"/>
      <c r="I341" s="293"/>
      <c r="J341" s="293"/>
      <c r="K341" s="293"/>
      <c r="L341" s="293"/>
      <c r="M341" s="293"/>
      <c r="N341" s="293"/>
      <c r="O341" s="293"/>
      <c r="P341" s="293"/>
      <c r="Q341" s="293"/>
      <c r="R341" s="293"/>
      <c r="S341" s="293"/>
      <c r="T341" s="293"/>
      <c r="U341" s="293"/>
      <c r="V341" s="293"/>
      <c r="W341" s="293"/>
      <c r="X341" s="293"/>
      <c r="Y341" s="293"/>
      <c r="Z341" s="293"/>
      <c r="AA341" s="293"/>
      <c r="AB341" s="293"/>
      <c r="AC341" s="293"/>
      <c r="AD341" s="293"/>
    </row>
    <row r="342" spans="1:30" ht="14.25" customHeight="1" x14ac:dyDescent="0.3">
      <c r="A342" s="293"/>
      <c r="B342" s="293"/>
      <c r="C342" s="293"/>
      <c r="D342" s="293"/>
      <c r="E342" s="293"/>
      <c r="F342" s="293"/>
      <c r="G342" s="293"/>
      <c r="H342" s="293"/>
      <c r="I342" s="293"/>
      <c r="J342" s="293"/>
      <c r="K342" s="293"/>
      <c r="L342" s="293"/>
      <c r="M342" s="293"/>
      <c r="N342" s="293"/>
      <c r="O342" s="293"/>
      <c r="P342" s="293"/>
      <c r="Q342" s="293"/>
      <c r="R342" s="293"/>
      <c r="S342" s="293"/>
      <c r="T342" s="293"/>
      <c r="U342" s="293"/>
      <c r="V342" s="293"/>
      <c r="W342" s="293"/>
      <c r="X342" s="293"/>
      <c r="Y342" s="293"/>
      <c r="Z342" s="293"/>
      <c r="AA342" s="293"/>
      <c r="AB342" s="293"/>
      <c r="AC342" s="293"/>
      <c r="AD342" s="293"/>
    </row>
    <row r="343" spans="1:30" ht="14.25" customHeight="1" x14ac:dyDescent="0.3">
      <c r="A343" s="293"/>
      <c r="B343" s="293"/>
      <c r="C343" s="293"/>
      <c r="D343" s="293"/>
      <c r="E343" s="293"/>
      <c r="F343" s="293"/>
      <c r="G343" s="293"/>
      <c r="H343" s="293"/>
      <c r="I343" s="293"/>
      <c r="J343" s="293"/>
      <c r="K343" s="293"/>
      <c r="L343" s="293"/>
      <c r="M343" s="293"/>
      <c r="N343" s="293"/>
      <c r="O343" s="293"/>
      <c r="P343" s="293"/>
      <c r="Q343" s="293"/>
      <c r="R343" s="293"/>
      <c r="S343" s="293"/>
      <c r="T343" s="293"/>
      <c r="U343" s="293"/>
      <c r="V343" s="293"/>
      <c r="W343" s="293"/>
      <c r="X343" s="293"/>
      <c r="Y343" s="293"/>
      <c r="Z343" s="293"/>
      <c r="AA343" s="293"/>
      <c r="AB343" s="293"/>
      <c r="AC343" s="293"/>
      <c r="AD343" s="293"/>
    </row>
    <row r="344" spans="1:30" ht="14.25" customHeight="1" x14ac:dyDescent="0.3">
      <c r="A344" s="293"/>
      <c r="B344" s="293"/>
      <c r="C344" s="293"/>
      <c r="D344" s="293"/>
      <c r="E344" s="293"/>
      <c r="F344" s="293"/>
      <c r="G344" s="293"/>
      <c r="H344" s="293"/>
      <c r="I344" s="293"/>
      <c r="J344" s="293"/>
      <c r="K344" s="293"/>
      <c r="L344" s="293"/>
      <c r="M344" s="293"/>
      <c r="N344" s="293"/>
      <c r="O344" s="293"/>
      <c r="P344" s="293"/>
      <c r="Q344" s="293"/>
      <c r="R344" s="293"/>
      <c r="S344" s="293"/>
      <c r="T344" s="293"/>
      <c r="U344" s="293"/>
      <c r="V344" s="293"/>
      <c r="W344" s="293"/>
      <c r="X344" s="293"/>
      <c r="Y344" s="293"/>
      <c r="Z344" s="293"/>
      <c r="AA344" s="293"/>
      <c r="AB344" s="293"/>
      <c r="AC344" s="293"/>
      <c r="AD344" s="293"/>
    </row>
    <row r="345" spans="1:30" ht="14.25" customHeight="1" x14ac:dyDescent="0.3">
      <c r="A345" s="293"/>
      <c r="B345" s="293"/>
      <c r="C345" s="293"/>
      <c r="D345" s="293"/>
      <c r="E345" s="293"/>
      <c r="F345" s="293"/>
      <c r="G345" s="293"/>
      <c r="H345" s="293"/>
      <c r="I345" s="293"/>
      <c r="J345" s="293"/>
      <c r="K345" s="293"/>
      <c r="L345" s="293"/>
      <c r="M345" s="293"/>
      <c r="N345" s="293"/>
      <c r="O345" s="293"/>
      <c r="P345" s="293"/>
      <c r="Q345" s="293"/>
      <c r="R345" s="293"/>
      <c r="S345" s="293"/>
      <c r="T345" s="293"/>
      <c r="U345" s="293"/>
      <c r="V345" s="293"/>
      <c r="W345" s="293"/>
      <c r="X345" s="293"/>
      <c r="Y345" s="293"/>
      <c r="Z345" s="293"/>
      <c r="AA345" s="293"/>
      <c r="AB345" s="293"/>
      <c r="AC345" s="293"/>
      <c r="AD345" s="293"/>
    </row>
    <row r="346" spans="1:30" ht="14.25" customHeight="1" x14ac:dyDescent="0.3">
      <c r="A346" s="293"/>
      <c r="B346" s="293"/>
      <c r="C346" s="293"/>
      <c r="D346" s="293"/>
      <c r="E346" s="293"/>
      <c r="F346" s="293"/>
      <c r="G346" s="293"/>
      <c r="H346" s="293"/>
      <c r="I346" s="293"/>
      <c r="J346" s="293"/>
      <c r="K346" s="293"/>
      <c r="L346" s="293"/>
      <c r="M346" s="293"/>
      <c r="N346" s="293"/>
      <c r="O346" s="293"/>
      <c r="P346" s="293"/>
      <c r="Q346" s="293"/>
      <c r="R346" s="293"/>
      <c r="S346" s="293"/>
      <c r="T346" s="293"/>
      <c r="U346" s="293"/>
      <c r="V346" s="293"/>
      <c r="W346" s="293"/>
      <c r="X346" s="293"/>
      <c r="Y346" s="293"/>
      <c r="Z346" s="293"/>
      <c r="AA346" s="293"/>
      <c r="AB346" s="293"/>
      <c r="AC346" s="293"/>
      <c r="AD346" s="293"/>
    </row>
    <row r="347" spans="1:30" ht="14.25" customHeight="1" x14ac:dyDescent="0.3">
      <c r="A347" s="293"/>
      <c r="B347" s="293"/>
      <c r="C347" s="293"/>
      <c r="D347" s="293"/>
      <c r="E347" s="293"/>
      <c r="F347" s="293"/>
      <c r="G347" s="293"/>
      <c r="H347" s="293"/>
      <c r="I347" s="293"/>
      <c r="J347" s="293"/>
      <c r="K347" s="293"/>
      <c r="L347" s="293"/>
      <c r="M347" s="293"/>
      <c r="N347" s="293"/>
      <c r="O347" s="293"/>
      <c r="P347" s="293"/>
      <c r="Q347" s="293"/>
      <c r="R347" s="293"/>
      <c r="S347" s="293"/>
      <c r="T347" s="293"/>
      <c r="U347" s="293"/>
      <c r="V347" s="293"/>
      <c r="W347" s="293"/>
      <c r="X347" s="293"/>
      <c r="Y347" s="293"/>
      <c r="Z347" s="293"/>
      <c r="AA347" s="293"/>
      <c r="AB347" s="293"/>
      <c r="AC347" s="293"/>
      <c r="AD347" s="293"/>
    </row>
    <row r="348" spans="1:30" ht="14.25" customHeight="1" x14ac:dyDescent="0.3">
      <c r="A348" s="293"/>
      <c r="B348" s="293"/>
      <c r="C348" s="293"/>
      <c r="D348" s="293"/>
      <c r="E348" s="293"/>
      <c r="F348" s="293"/>
      <c r="G348" s="293"/>
      <c r="H348" s="293"/>
      <c r="I348" s="293"/>
      <c r="J348" s="293"/>
      <c r="K348" s="293"/>
      <c r="L348" s="293"/>
      <c r="M348" s="293"/>
      <c r="N348" s="293"/>
      <c r="O348" s="293"/>
      <c r="P348" s="293"/>
      <c r="Q348" s="293"/>
      <c r="R348" s="293"/>
      <c r="S348" s="293"/>
      <c r="T348" s="293"/>
      <c r="U348" s="293"/>
      <c r="V348" s="293"/>
      <c r="W348" s="293"/>
      <c r="X348" s="293"/>
      <c r="Y348" s="293"/>
      <c r="Z348" s="293"/>
      <c r="AA348" s="293"/>
      <c r="AB348" s="293"/>
      <c r="AC348" s="293"/>
      <c r="AD348" s="293"/>
    </row>
    <row r="349" spans="1:30" ht="14.25" customHeight="1" x14ac:dyDescent="0.3">
      <c r="A349" s="293"/>
      <c r="B349" s="293"/>
      <c r="C349" s="293"/>
      <c r="D349" s="293"/>
      <c r="E349" s="293"/>
      <c r="F349" s="293"/>
      <c r="G349" s="293"/>
      <c r="H349" s="293"/>
      <c r="I349" s="293"/>
      <c r="J349" s="293"/>
      <c r="K349" s="293"/>
      <c r="L349" s="293"/>
      <c r="M349" s="293"/>
      <c r="N349" s="293"/>
      <c r="O349" s="293"/>
      <c r="P349" s="293"/>
      <c r="Q349" s="293"/>
      <c r="R349" s="293"/>
      <c r="S349" s="293"/>
      <c r="T349" s="293"/>
      <c r="U349" s="293"/>
      <c r="V349" s="293"/>
      <c r="W349" s="293"/>
      <c r="X349" s="293"/>
      <c r="Y349" s="293"/>
      <c r="Z349" s="293"/>
      <c r="AA349" s="293"/>
      <c r="AB349" s="293"/>
      <c r="AC349" s="293"/>
      <c r="AD349" s="293"/>
    </row>
    <row r="350" spans="1:30" ht="14.25" customHeight="1" x14ac:dyDescent="0.3">
      <c r="A350" s="293"/>
      <c r="B350" s="293"/>
      <c r="C350" s="293"/>
      <c r="D350" s="293"/>
      <c r="E350" s="293"/>
      <c r="F350" s="293"/>
      <c r="G350" s="293"/>
      <c r="H350" s="293"/>
      <c r="I350" s="293"/>
      <c r="J350" s="293"/>
      <c r="K350" s="293"/>
      <c r="L350" s="293"/>
      <c r="M350" s="293"/>
      <c r="N350" s="293"/>
      <c r="O350" s="293"/>
      <c r="P350" s="293"/>
      <c r="Q350" s="293"/>
      <c r="R350" s="293"/>
      <c r="S350" s="293"/>
      <c r="T350" s="293"/>
      <c r="U350" s="293"/>
      <c r="V350" s="293"/>
      <c r="W350" s="293"/>
      <c r="X350" s="293"/>
      <c r="Y350" s="293"/>
      <c r="Z350" s="293"/>
      <c r="AA350" s="293"/>
      <c r="AB350" s="293"/>
      <c r="AC350" s="293"/>
      <c r="AD350" s="293"/>
    </row>
    <row r="351" spans="1:30" ht="14.25" customHeight="1" x14ac:dyDescent="0.3">
      <c r="A351" s="293"/>
      <c r="B351" s="293"/>
      <c r="C351" s="293"/>
      <c r="D351" s="293"/>
      <c r="E351" s="293"/>
      <c r="F351" s="293"/>
      <c r="G351" s="293"/>
      <c r="H351" s="293"/>
      <c r="I351" s="293"/>
      <c r="J351" s="293"/>
      <c r="K351" s="293"/>
      <c r="L351" s="293"/>
      <c r="M351" s="293"/>
      <c r="N351" s="293"/>
      <c r="O351" s="293"/>
      <c r="P351" s="293"/>
      <c r="Q351" s="293"/>
      <c r="R351" s="293"/>
      <c r="S351" s="293"/>
      <c r="T351" s="293"/>
      <c r="U351" s="293"/>
      <c r="V351" s="293"/>
      <c r="W351" s="293"/>
      <c r="X351" s="293"/>
      <c r="Y351" s="293"/>
      <c r="Z351" s="293"/>
      <c r="AA351" s="293"/>
      <c r="AB351" s="293"/>
      <c r="AC351" s="293"/>
      <c r="AD351" s="293"/>
    </row>
    <row r="352" spans="1:30" ht="14.25" customHeight="1" x14ac:dyDescent="0.3">
      <c r="A352" s="293"/>
      <c r="B352" s="293"/>
      <c r="C352" s="293"/>
      <c r="D352" s="293"/>
      <c r="E352" s="293"/>
      <c r="F352" s="293"/>
      <c r="G352" s="293"/>
      <c r="H352" s="293"/>
      <c r="I352" s="293"/>
      <c r="J352" s="293"/>
      <c r="K352" s="293"/>
      <c r="L352" s="293"/>
      <c r="M352" s="293"/>
      <c r="N352" s="293"/>
      <c r="O352" s="293"/>
      <c r="P352" s="293"/>
      <c r="Q352" s="293"/>
      <c r="R352" s="293"/>
      <c r="S352" s="293"/>
      <c r="T352" s="293"/>
      <c r="U352" s="293"/>
      <c r="V352" s="293"/>
      <c r="W352" s="293"/>
      <c r="X352" s="293"/>
      <c r="Y352" s="293"/>
      <c r="Z352" s="293"/>
      <c r="AA352" s="293"/>
      <c r="AB352" s="293"/>
      <c r="AC352" s="293"/>
      <c r="AD352" s="293"/>
    </row>
    <row r="353" spans="1:30" ht="14.25" customHeight="1" x14ac:dyDescent="0.3">
      <c r="A353" s="293"/>
      <c r="B353" s="293"/>
      <c r="C353" s="293"/>
      <c r="D353" s="293"/>
      <c r="E353" s="293"/>
      <c r="F353" s="293"/>
      <c r="G353" s="293"/>
      <c r="H353" s="293"/>
      <c r="I353" s="293"/>
      <c r="J353" s="293"/>
      <c r="K353" s="293"/>
      <c r="L353" s="293"/>
      <c r="M353" s="293"/>
      <c r="N353" s="293"/>
      <c r="O353" s="293"/>
      <c r="P353" s="293"/>
      <c r="Q353" s="293"/>
      <c r="R353" s="293"/>
      <c r="S353" s="293"/>
      <c r="T353" s="293"/>
      <c r="U353" s="293"/>
      <c r="V353" s="293"/>
      <c r="W353" s="293"/>
      <c r="X353" s="293"/>
      <c r="Y353" s="293"/>
      <c r="Z353" s="293"/>
      <c r="AA353" s="293"/>
      <c r="AB353" s="293"/>
      <c r="AC353" s="293"/>
      <c r="AD353" s="293"/>
    </row>
    <row r="354" spans="1:30" ht="14.25" customHeight="1" x14ac:dyDescent="0.3">
      <c r="A354" s="293"/>
      <c r="B354" s="293"/>
      <c r="C354" s="293"/>
      <c r="D354" s="293"/>
      <c r="E354" s="293"/>
      <c r="F354" s="293"/>
      <c r="G354" s="293"/>
      <c r="H354" s="293"/>
      <c r="I354" s="293"/>
      <c r="J354" s="293"/>
      <c r="K354" s="293"/>
      <c r="L354" s="293"/>
      <c r="M354" s="293"/>
      <c r="N354" s="293"/>
      <c r="O354" s="293"/>
      <c r="P354" s="293"/>
      <c r="Q354" s="293"/>
      <c r="R354" s="293"/>
      <c r="S354" s="293"/>
      <c r="T354" s="293"/>
      <c r="U354" s="293"/>
      <c r="V354" s="293"/>
      <c r="W354" s="293"/>
      <c r="X354" s="293"/>
      <c r="Y354" s="293"/>
      <c r="Z354" s="293"/>
      <c r="AA354" s="293"/>
      <c r="AB354" s="293"/>
      <c r="AC354" s="293"/>
      <c r="AD354" s="293"/>
    </row>
    <row r="355" spans="1:30" ht="14.25" customHeight="1" x14ac:dyDescent="0.3">
      <c r="A355" s="293"/>
      <c r="B355" s="293"/>
      <c r="C355" s="293"/>
      <c r="D355" s="293"/>
      <c r="E355" s="293"/>
      <c r="F355" s="293"/>
      <c r="G355" s="293"/>
      <c r="H355" s="293"/>
      <c r="I355" s="293"/>
      <c r="J355" s="293"/>
      <c r="K355" s="293"/>
      <c r="L355" s="293"/>
      <c r="M355" s="293"/>
      <c r="N355" s="293"/>
      <c r="O355" s="293"/>
      <c r="P355" s="293"/>
      <c r="Q355" s="293"/>
      <c r="R355" s="293"/>
      <c r="S355" s="293"/>
      <c r="T355" s="293"/>
      <c r="U355" s="293"/>
      <c r="V355" s="293"/>
      <c r="W355" s="293"/>
      <c r="X355" s="293"/>
      <c r="Y355" s="293"/>
      <c r="Z355" s="293"/>
      <c r="AA355" s="293"/>
      <c r="AB355" s="293"/>
      <c r="AC355" s="293"/>
      <c r="AD355" s="293"/>
    </row>
    <row r="356" spans="1:30" ht="14.25" customHeight="1" x14ac:dyDescent="0.3">
      <c r="A356" s="293"/>
      <c r="B356" s="293"/>
      <c r="C356" s="293"/>
      <c r="D356" s="293"/>
      <c r="E356" s="293"/>
      <c r="F356" s="293"/>
      <c r="G356" s="293"/>
      <c r="H356" s="293"/>
      <c r="I356" s="293"/>
      <c r="J356" s="293"/>
      <c r="K356" s="293"/>
      <c r="L356" s="293"/>
      <c r="M356" s="293"/>
      <c r="N356" s="293"/>
      <c r="O356" s="293"/>
      <c r="P356" s="293"/>
      <c r="Q356" s="293"/>
      <c r="R356" s="293"/>
      <c r="S356" s="293"/>
      <c r="T356" s="293"/>
      <c r="U356" s="293"/>
      <c r="V356" s="293"/>
      <c r="W356" s="293"/>
      <c r="X356" s="293"/>
      <c r="Y356" s="293"/>
      <c r="Z356" s="293"/>
      <c r="AA356" s="293"/>
      <c r="AB356" s="293"/>
      <c r="AC356" s="293"/>
      <c r="AD356" s="293"/>
    </row>
    <row r="357" spans="1:30" ht="14.25" customHeight="1" x14ac:dyDescent="0.3">
      <c r="A357" s="293"/>
      <c r="B357" s="293"/>
      <c r="C357" s="293"/>
      <c r="D357" s="293"/>
      <c r="E357" s="293"/>
      <c r="F357" s="293"/>
      <c r="G357" s="293"/>
      <c r="H357" s="293"/>
      <c r="I357" s="293"/>
      <c r="J357" s="293"/>
      <c r="K357" s="293"/>
      <c r="L357" s="293"/>
      <c r="M357" s="293"/>
      <c r="N357" s="293"/>
      <c r="O357" s="293"/>
      <c r="P357" s="293"/>
      <c r="Q357" s="293"/>
      <c r="R357" s="293"/>
      <c r="S357" s="293"/>
      <c r="T357" s="293"/>
      <c r="U357" s="293"/>
      <c r="V357" s="293"/>
      <c r="W357" s="293"/>
      <c r="X357" s="293"/>
      <c r="Y357" s="293"/>
      <c r="Z357" s="293"/>
      <c r="AA357" s="293"/>
      <c r="AB357" s="293"/>
      <c r="AC357" s="293"/>
      <c r="AD357" s="293"/>
    </row>
    <row r="358" spans="1:30" ht="14.25" customHeight="1" x14ac:dyDescent="0.3">
      <c r="A358" s="293"/>
      <c r="B358" s="293"/>
      <c r="C358" s="293"/>
      <c r="D358" s="293"/>
      <c r="E358" s="293"/>
      <c r="F358" s="293"/>
      <c r="G358" s="293"/>
      <c r="H358" s="293"/>
      <c r="I358" s="293"/>
      <c r="J358" s="293"/>
      <c r="K358" s="293"/>
      <c r="L358" s="293"/>
      <c r="M358" s="293"/>
      <c r="N358" s="293"/>
      <c r="O358" s="293"/>
      <c r="P358" s="293"/>
      <c r="Q358" s="293"/>
      <c r="R358" s="293"/>
      <c r="S358" s="293"/>
      <c r="T358" s="293"/>
      <c r="U358" s="293"/>
      <c r="V358" s="293"/>
      <c r="W358" s="293"/>
      <c r="X358" s="293"/>
      <c r="Y358" s="293"/>
      <c r="Z358" s="293"/>
      <c r="AA358" s="293"/>
      <c r="AB358" s="293"/>
      <c r="AC358" s="293"/>
      <c r="AD358" s="293"/>
    </row>
    <row r="359" spans="1:30" ht="14.25" customHeight="1" x14ac:dyDescent="0.3">
      <c r="A359" s="293"/>
      <c r="B359" s="293"/>
      <c r="C359" s="293"/>
      <c r="D359" s="293"/>
      <c r="E359" s="293"/>
      <c r="F359" s="293"/>
      <c r="G359" s="293"/>
      <c r="H359" s="293"/>
      <c r="I359" s="293"/>
      <c r="J359" s="293"/>
      <c r="K359" s="293"/>
      <c r="L359" s="293"/>
      <c r="M359" s="293"/>
      <c r="N359" s="293"/>
      <c r="O359" s="293"/>
      <c r="P359" s="293"/>
      <c r="Q359" s="293"/>
      <c r="R359" s="293"/>
      <c r="S359" s="293"/>
      <c r="T359" s="293"/>
      <c r="U359" s="293"/>
      <c r="V359" s="293"/>
      <c r="W359" s="293"/>
      <c r="X359" s="293"/>
      <c r="Y359" s="293"/>
      <c r="Z359" s="293"/>
      <c r="AA359" s="293"/>
      <c r="AB359" s="293"/>
      <c r="AC359" s="293"/>
      <c r="AD359" s="293"/>
    </row>
    <row r="360" spans="1:30" ht="14.25" customHeight="1" x14ac:dyDescent="0.3">
      <c r="A360" s="293"/>
      <c r="B360" s="293"/>
      <c r="C360" s="293"/>
      <c r="D360" s="293"/>
      <c r="E360" s="293"/>
      <c r="F360" s="293"/>
      <c r="G360" s="293"/>
      <c r="H360" s="293"/>
      <c r="I360" s="293"/>
      <c r="J360" s="293"/>
      <c r="K360" s="293"/>
      <c r="L360" s="293"/>
      <c r="M360" s="293"/>
      <c r="N360" s="293"/>
      <c r="O360" s="293"/>
      <c r="P360" s="293"/>
      <c r="Q360" s="293"/>
      <c r="R360" s="293"/>
      <c r="S360" s="293"/>
      <c r="T360" s="293"/>
      <c r="U360" s="293"/>
      <c r="V360" s="293"/>
      <c r="W360" s="293"/>
      <c r="X360" s="293"/>
      <c r="Y360" s="293"/>
      <c r="Z360" s="293"/>
      <c r="AA360" s="293"/>
      <c r="AB360" s="293"/>
      <c r="AC360" s="293"/>
      <c r="AD360" s="293"/>
    </row>
    <row r="361" spans="1:30" ht="14.25" customHeight="1" x14ac:dyDescent="0.3">
      <c r="A361" s="293"/>
      <c r="B361" s="293"/>
      <c r="C361" s="293"/>
      <c r="D361" s="293"/>
      <c r="E361" s="293"/>
      <c r="F361" s="293"/>
      <c r="G361" s="293"/>
      <c r="H361" s="293"/>
      <c r="I361" s="293"/>
      <c r="J361" s="293"/>
      <c r="K361" s="293"/>
      <c r="L361" s="293"/>
      <c r="M361" s="293"/>
      <c r="N361" s="293"/>
      <c r="O361" s="293"/>
      <c r="P361" s="293"/>
      <c r="Q361" s="293"/>
      <c r="R361" s="293"/>
      <c r="S361" s="293"/>
      <c r="T361" s="293"/>
      <c r="U361" s="293"/>
      <c r="V361" s="293"/>
      <c r="W361" s="293"/>
      <c r="X361" s="293"/>
      <c r="Y361" s="293"/>
      <c r="Z361" s="293"/>
      <c r="AA361" s="293"/>
      <c r="AB361" s="293"/>
      <c r="AC361" s="293"/>
      <c r="AD361" s="293"/>
    </row>
    <row r="362" spans="1:30" ht="14.25" customHeight="1" x14ac:dyDescent="0.3">
      <c r="A362" s="293"/>
      <c r="B362" s="293"/>
      <c r="C362" s="293"/>
      <c r="D362" s="293"/>
      <c r="E362" s="293"/>
      <c r="F362" s="293"/>
      <c r="G362" s="293"/>
      <c r="H362" s="293"/>
      <c r="I362" s="293"/>
      <c r="J362" s="293"/>
      <c r="K362" s="293"/>
      <c r="L362" s="293"/>
      <c r="M362" s="293"/>
      <c r="N362" s="293"/>
      <c r="O362" s="293"/>
      <c r="P362" s="293"/>
      <c r="Q362" s="293"/>
      <c r="R362" s="293"/>
      <c r="S362" s="293"/>
      <c r="T362" s="293"/>
      <c r="U362" s="293"/>
      <c r="V362" s="293"/>
      <c r="W362" s="293"/>
      <c r="X362" s="293"/>
      <c r="Y362" s="293"/>
      <c r="Z362" s="293"/>
      <c r="AA362" s="293"/>
      <c r="AB362" s="293"/>
      <c r="AC362" s="293"/>
      <c r="AD362" s="293"/>
    </row>
    <row r="363" spans="1:30" ht="14.25" customHeight="1" x14ac:dyDescent="0.3">
      <c r="A363" s="293"/>
      <c r="B363" s="293"/>
      <c r="C363" s="293"/>
      <c r="D363" s="293"/>
      <c r="E363" s="293"/>
      <c r="F363" s="293"/>
      <c r="G363" s="293"/>
      <c r="H363" s="293"/>
      <c r="I363" s="293"/>
      <c r="J363" s="293"/>
      <c r="K363" s="293"/>
      <c r="L363" s="293"/>
      <c r="M363" s="293"/>
      <c r="N363" s="293"/>
      <c r="O363" s="293"/>
      <c r="P363" s="293"/>
      <c r="Q363" s="293"/>
      <c r="R363" s="293"/>
      <c r="S363" s="293"/>
      <c r="T363" s="293"/>
      <c r="U363" s="293"/>
      <c r="V363" s="293"/>
      <c r="W363" s="293"/>
      <c r="X363" s="293"/>
      <c r="Y363" s="293"/>
      <c r="Z363" s="293"/>
      <c r="AA363" s="293"/>
      <c r="AB363" s="293"/>
      <c r="AC363" s="293"/>
      <c r="AD363" s="293"/>
    </row>
    <row r="364" spans="1:30" ht="14.25" customHeight="1" x14ac:dyDescent="0.3">
      <c r="A364" s="293"/>
      <c r="B364" s="293"/>
      <c r="C364" s="293"/>
      <c r="D364" s="293"/>
      <c r="E364" s="293"/>
      <c r="F364" s="293"/>
      <c r="G364" s="293"/>
      <c r="H364" s="293"/>
      <c r="I364" s="293"/>
      <c r="J364" s="293"/>
      <c r="K364" s="293"/>
      <c r="L364" s="293"/>
      <c r="M364" s="293"/>
      <c r="N364" s="293"/>
      <c r="O364" s="293"/>
      <c r="P364" s="293"/>
      <c r="Q364" s="293"/>
      <c r="R364" s="293"/>
      <c r="S364" s="293"/>
      <c r="T364" s="293"/>
      <c r="U364" s="293"/>
      <c r="V364" s="293"/>
      <c r="W364" s="293"/>
      <c r="X364" s="293"/>
      <c r="Y364" s="293"/>
      <c r="Z364" s="293"/>
      <c r="AA364" s="293"/>
      <c r="AB364" s="293"/>
      <c r="AC364" s="293"/>
      <c r="AD364" s="293"/>
    </row>
    <row r="365" spans="1:30" ht="14.25" customHeight="1" x14ac:dyDescent="0.3">
      <c r="A365" s="293"/>
      <c r="B365" s="293"/>
      <c r="C365" s="293"/>
      <c r="D365" s="293"/>
      <c r="E365" s="293"/>
      <c r="F365" s="293"/>
      <c r="G365" s="293"/>
      <c r="H365" s="293"/>
      <c r="I365" s="293"/>
      <c r="J365" s="293"/>
      <c r="K365" s="293"/>
      <c r="L365" s="293"/>
      <c r="M365" s="293"/>
      <c r="N365" s="293"/>
      <c r="O365" s="293"/>
      <c r="P365" s="293"/>
      <c r="Q365" s="293"/>
      <c r="R365" s="293"/>
      <c r="S365" s="293"/>
      <c r="T365" s="293"/>
      <c r="U365" s="293"/>
      <c r="V365" s="293"/>
      <c r="W365" s="293"/>
      <c r="X365" s="293"/>
      <c r="Y365" s="293"/>
      <c r="Z365" s="293"/>
      <c r="AA365" s="293"/>
      <c r="AB365" s="293"/>
      <c r="AC365" s="293"/>
      <c r="AD365" s="293"/>
    </row>
    <row r="366" spans="1:30" ht="14.25" customHeight="1" x14ac:dyDescent="0.3">
      <c r="A366" s="293"/>
      <c r="B366" s="293"/>
      <c r="C366" s="293"/>
      <c r="D366" s="293"/>
      <c r="E366" s="293"/>
      <c r="F366" s="293"/>
      <c r="G366" s="293"/>
      <c r="H366" s="293"/>
      <c r="I366" s="293"/>
      <c r="J366" s="293"/>
      <c r="K366" s="293"/>
      <c r="L366" s="293"/>
      <c r="M366" s="293"/>
      <c r="N366" s="293"/>
      <c r="O366" s="293"/>
      <c r="P366" s="293"/>
      <c r="Q366" s="293"/>
      <c r="R366" s="293"/>
      <c r="S366" s="293"/>
      <c r="T366" s="293"/>
      <c r="U366" s="293"/>
      <c r="V366" s="293"/>
      <c r="W366" s="293"/>
      <c r="X366" s="293"/>
      <c r="Y366" s="293"/>
      <c r="Z366" s="293"/>
      <c r="AA366" s="293"/>
      <c r="AB366" s="293"/>
      <c r="AC366" s="293"/>
      <c r="AD366" s="293"/>
    </row>
    <row r="367" spans="1:30" ht="14.25" customHeight="1" x14ac:dyDescent="0.3">
      <c r="A367" s="293"/>
      <c r="B367" s="293"/>
      <c r="C367" s="293"/>
      <c r="D367" s="293"/>
      <c r="E367" s="293"/>
      <c r="F367" s="293"/>
      <c r="G367" s="293"/>
      <c r="H367" s="293"/>
      <c r="I367" s="293"/>
      <c r="J367" s="293"/>
      <c r="K367" s="293"/>
      <c r="L367" s="293"/>
      <c r="M367" s="293"/>
      <c r="N367" s="293"/>
      <c r="O367" s="293"/>
      <c r="P367" s="293"/>
      <c r="Q367" s="293"/>
      <c r="R367" s="293"/>
      <c r="S367" s="293"/>
      <c r="T367" s="293"/>
      <c r="U367" s="293"/>
      <c r="V367" s="293"/>
      <c r="W367" s="293"/>
      <c r="X367" s="293"/>
      <c r="Y367" s="293"/>
      <c r="Z367" s="293"/>
      <c r="AA367" s="293"/>
      <c r="AB367" s="293"/>
      <c r="AC367" s="293"/>
      <c r="AD367" s="293"/>
    </row>
    <row r="368" spans="1:30" ht="14.25" customHeight="1" x14ac:dyDescent="0.3">
      <c r="A368" s="293"/>
      <c r="B368" s="293"/>
      <c r="C368" s="293"/>
      <c r="D368" s="293"/>
      <c r="E368" s="293"/>
      <c r="F368" s="293"/>
      <c r="G368" s="293"/>
      <c r="H368" s="293"/>
      <c r="I368" s="293"/>
      <c r="J368" s="293"/>
      <c r="K368" s="293"/>
      <c r="L368" s="293"/>
      <c r="M368" s="293"/>
      <c r="N368" s="293"/>
      <c r="O368" s="293"/>
      <c r="P368" s="293"/>
      <c r="Q368" s="293"/>
      <c r="R368" s="293"/>
      <c r="S368" s="293"/>
      <c r="T368" s="293"/>
      <c r="U368" s="293"/>
      <c r="V368" s="293"/>
      <c r="W368" s="293"/>
      <c r="X368" s="293"/>
      <c r="Y368" s="293"/>
      <c r="Z368" s="293"/>
      <c r="AA368" s="293"/>
      <c r="AB368" s="293"/>
      <c r="AC368" s="293"/>
      <c r="AD368" s="293"/>
    </row>
    <row r="369" spans="1:30" ht="14.25" customHeight="1" x14ac:dyDescent="0.3">
      <c r="A369" s="293"/>
      <c r="B369" s="293"/>
      <c r="C369" s="293"/>
      <c r="D369" s="293"/>
      <c r="E369" s="293"/>
      <c r="F369" s="293"/>
      <c r="G369" s="293"/>
      <c r="H369" s="293"/>
      <c r="I369" s="293"/>
      <c r="J369" s="293"/>
      <c r="K369" s="293"/>
      <c r="L369" s="293"/>
      <c r="M369" s="293"/>
      <c r="N369" s="293"/>
      <c r="O369" s="293"/>
      <c r="P369" s="293"/>
      <c r="Q369" s="293"/>
      <c r="R369" s="293"/>
      <c r="S369" s="293"/>
      <c r="T369" s="293"/>
      <c r="U369" s="293"/>
      <c r="V369" s="293"/>
      <c r="W369" s="293"/>
      <c r="X369" s="293"/>
      <c r="Y369" s="293"/>
      <c r="Z369" s="293"/>
      <c r="AA369" s="293"/>
      <c r="AB369" s="293"/>
      <c r="AC369" s="293"/>
      <c r="AD369" s="293"/>
    </row>
    <row r="370" spans="1:30" ht="14.25" customHeight="1" x14ac:dyDescent="0.3">
      <c r="A370" s="293"/>
      <c r="B370" s="293"/>
      <c r="C370" s="293"/>
      <c r="D370" s="293"/>
      <c r="E370" s="293"/>
      <c r="F370" s="293"/>
      <c r="G370" s="293"/>
      <c r="H370" s="293"/>
      <c r="I370" s="293"/>
      <c r="J370" s="293"/>
      <c r="K370" s="293"/>
      <c r="L370" s="293"/>
      <c r="M370" s="293"/>
      <c r="N370" s="293"/>
      <c r="O370" s="293"/>
      <c r="P370" s="293"/>
      <c r="Q370" s="293"/>
      <c r="R370" s="293"/>
      <c r="S370" s="293"/>
      <c r="T370" s="293"/>
      <c r="U370" s="293"/>
      <c r="V370" s="293"/>
      <c r="W370" s="293"/>
      <c r="X370" s="293"/>
      <c r="Y370" s="293"/>
      <c r="Z370" s="293"/>
      <c r="AA370" s="293"/>
      <c r="AB370" s="293"/>
      <c r="AC370" s="293"/>
      <c r="AD370" s="293"/>
    </row>
    <row r="371" spans="1:30" ht="14.25" customHeight="1" x14ac:dyDescent="0.3">
      <c r="A371" s="293"/>
      <c r="B371" s="293"/>
      <c r="C371" s="293"/>
      <c r="D371" s="293"/>
      <c r="E371" s="293"/>
      <c r="F371" s="293"/>
      <c r="G371" s="293"/>
      <c r="H371" s="293"/>
      <c r="I371" s="293"/>
      <c r="J371" s="293"/>
      <c r="K371" s="293"/>
      <c r="L371" s="293"/>
      <c r="M371" s="293"/>
      <c r="N371" s="293"/>
      <c r="O371" s="293"/>
      <c r="P371" s="293"/>
      <c r="Q371" s="293"/>
      <c r="R371" s="293"/>
      <c r="S371" s="293"/>
      <c r="T371" s="293"/>
      <c r="U371" s="293"/>
      <c r="V371" s="293"/>
      <c r="W371" s="293"/>
      <c r="X371" s="293"/>
      <c r="Y371" s="293"/>
      <c r="Z371" s="293"/>
      <c r="AA371" s="293"/>
      <c r="AB371" s="293"/>
      <c r="AC371" s="293"/>
      <c r="AD371" s="293"/>
    </row>
    <row r="372" spans="1:30" ht="14.25" customHeight="1" x14ac:dyDescent="0.3">
      <c r="A372" s="293"/>
      <c r="B372" s="293"/>
      <c r="C372" s="293"/>
      <c r="D372" s="293"/>
      <c r="E372" s="293"/>
      <c r="F372" s="293"/>
      <c r="G372" s="293"/>
      <c r="H372" s="293"/>
      <c r="I372" s="293"/>
      <c r="J372" s="293"/>
      <c r="K372" s="293"/>
      <c r="L372" s="293"/>
      <c r="M372" s="293"/>
      <c r="N372" s="293"/>
      <c r="O372" s="293"/>
      <c r="P372" s="293"/>
      <c r="Q372" s="293"/>
      <c r="R372" s="293"/>
      <c r="S372" s="293"/>
      <c r="T372" s="293"/>
      <c r="U372" s="293"/>
      <c r="V372" s="293"/>
      <c r="W372" s="293"/>
      <c r="X372" s="293"/>
      <c r="Y372" s="293"/>
      <c r="Z372" s="293"/>
      <c r="AA372" s="293"/>
      <c r="AB372" s="293"/>
      <c r="AC372" s="293"/>
      <c r="AD372" s="293"/>
    </row>
    <row r="373" spans="1:30" ht="14.25" customHeight="1" x14ac:dyDescent="0.3">
      <c r="A373" s="293"/>
      <c r="B373" s="293"/>
      <c r="C373" s="293"/>
      <c r="D373" s="293"/>
      <c r="E373" s="293"/>
      <c r="F373" s="293"/>
      <c r="G373" s="293"/>
      <c r="H373" s="293"/>
      <c r="I373" s="293"/>
      <c r="J373" s="293"/>
      <c r="K373" s="293"/>
      <c r="L373" s="293"/>
      <c r="M373" s="293"/>
      <c r="N373" s="293"/>
      <c r="O373" s="293"/>
      <c r="P373" s="293"/>
      <c r="Q373" s="293"/>
      <c r="R373" s="293"/>
      <c r="S373" s="293"/>
      <c r="T373" s="293"/>
      <c r="U373" s="293"/>
      <c r="V373" s="293"/>
      <c r="W373" s="293"/>
      <c r="X373" s="293"/>
      <c r="Y373" s="293"/>
      <c r="Z373" s="293"/>
      <c r="AA373" s="293"/>
      <c r="AB373" s="293"/>
      <c r="AC373" s="293"/>
      <c r="AD373" s="293"/>
    </row>
    <row r="374" spans="1:30" ht="14.25" customHeight="1" x14ac:dyDescent="0.3">
      <c r="A374" s="293"/>
      <c r="B374" s="293"/>
      <c r="C374" s="293"/>
      <c r="D374" s="293"/>
      <c r="E374" s="293"/>
      <c r="F374" s="293"/>
      <c r="G374" s="293"/>
      <c r="H374" s="293"/>
      <c r="I374" s="293"/>
      <c r="J374" s="293"/>
      <c r="K374" s="293"/>
      <c r="L374" s="293"/>
      <c r="M374" s="293"/>
      <c r="N374" s="293"/>
      <c r="O374" s="293"/>
      <c r="P374" s="293"/>
      <c r="Q374" s="293"/>
      <c r="R374" s="293"/>
      <c r="S374" s="293"/>
      <c r="T374" s="293"/>
      <c r="U374" s="293"/>
      <c r="V374" s="293"/>
      <c r="W374" s="293"/>
      <c r="X374" s="293"/>
      <c r="Y374" s="293"/>
      <c r="Z374" s="293"/>
      <c r="AA374" s="293"/>
      <c r="AB374" s="293"/>
      <c r="AC374" s="293"/>
      <c r="AD374" s="293"/>
    </row>
    <row r="375" spans="1:30" ht="14.25" customHeight="1" x14ac:dyDescent="0.3">
      <c r="A375" s="293"/>
      <c r="B375" s="293"/>
      <c r="C375" s="293"/>
      <c r="D375" s="293"/>
      <c r="E375" s="293"/>
      <c r="F375" s="293"/>
      <c r="G375" s="293"/>
      <c r="H375" s="293"/>
      <c r="I375" s="293"/>
      <c r="J375" s="293"/>
      <c r="K375" s="293"/>
      <c r="L375" s="293"/>
      <c r="M375" s="293"/>
      <c r="N375" s="293"/>
      <c r="O375" s="293"/>
      <c r="P375" s="293"/>
      <c r="Q375" s="293"/>
      <c r="R375" s="293"/>
      <c r="S375" s="293"/>
      <c r="T375" s="293"/>
      <c r="U375" s="293"/>
      <c r="V375" s="293"/>
      <c r="W375" s="293"/>
      <c r="X375" s="293"/>
      <c r="Y375" s="293"/>
      <c r="Z375" s="293"/>
      <c r="AA375" s="293"/>
      <c r="AB375" s="293"/>
      <c r="AC375" s="293"/>
      <c r="AD375" s="293"/>
    </row>
    <row r="376" spans="1:30" ht="14.25" customHeight="1" x14ac:dyDescent="0.3">
      <c r="A376" s="293"/>
      <c r="B376" s="293"/>
      <c r="C376" s="293"/>
      <c r="D376" s="293"/>
      <c r="E376" s="293"/>
      <c r="F376" s="293"/>
      <c r="G376" s="293"/>
      <c r="H376" s="293"/>
      <c r="I376" s="293"/>
      <c r="J376" s="293"/>
      <c r="K376" s="293"/>
      <c r="L376" s="293"/>
      <c r="M376" s="293"/>
      <c r="N376" s="293"/>
      <c r="O376" s="293"/>
      <c r="P376" s="293"/>
      <c r="Q376" s="293"/>
      <c r="R376" s="293"/>
      <c r="S376" s="293"/>
      <c r="T376" s="293"/>
      <c r="U376" s="293"/>
      <c r="V376" s="293"/>
      <c r="W376" s="293"/>
      <c r="X376" s="293"/>
      <c r="Y376" s="293"/>
      <c r="Z376" s="293"/>
      <c r="AA376" s="293"/>
      <c r="AB376" s="293"/>
      <c r="AC376" s="293"/>
      <c r="AD376" s="293"/>
    </row>
    <row r="377" spans="1:30" ht="14.25" customHeight="1" x14ac:dyDescent="0.3">
      <c r="A377" s="293"/>
      <c r="B377" s="293"/>
      <c r="C377" s="293"/>
      <c r="D377" s="293"/>
      <c r="E377" s="293"/>
      <c r="F377" s="293"/>
      <c r="G377" s="293"/>
      <c r="H377" s="293"/>
      <c r="I377" s="293"/>
      <c r="J377" s="293"/>
      <c r="K377" s="293"/>
      <c r="L377" s="293"/>
      <c r="M377" s="293"/>
      <c r="N377" s="293"/>
      <c r="O377" s="293"/>
      <c r="P377" s="293"/>
      <c r="Q377" s="293"/>
      <c r="R377" s="293"/>
      <c r="S377" s="293"/>
      <c r="T377" s="293"/>
      <c r="U377" s="293"/>
      <c r="V377" s="293"/>
      <c r="W377" s="293"/>
      <c r="X377" s="293"/>
      <c r="Y377" s="293"/>
      <c r="Z377" s="293"/>
      <c r="AA377" s="293"/>
      <c r="AB377" s="293"/>
      <c r="AC377" s="293"/>
      <c r="AD377" s="293"/>
    </row>
    <row r="378" spans="1:30" ht="14.25" customHeight="1" x14ac:dyDescent="0.3">
      <c r="A378" s="293"/>
      <c r="B378" s="293"/>
      <c r="C378" s="293"/>
      <c r="D378" s="293"/>
      <c r="E378" s="293"/>
      <c r="F378" s="293"/>
      <c r="G378" s="293"/>
      <c r="H378" s="293"/>
      <c r="I378" s="293"/>
      <c r="J378" s="293"/>
      <c r="K378" s="293"/>
      <c r="L378" s="293"/>
      <c r="M378" s="293"/>
      <c r="N378" s="293"/>
      <c r="O378" s="293"/>
      <c r="P378" s="293"/>
      <c r="Q378" s="293"/>
      <c r="R378" s="293"/>
      <c r="S378" s="293"/>
      <c r="T378" s="293"/>
      <c r="U378" s="293"/>
      <c r="V378" s="293"/>
      <c r="W378" s="293"/>
      <c r="X378" s="293"/>
      <c r="Y378" s="293"/>
      <c r="Z378" s="293"/>
      <c r="AA378" s="293"/>
      <c r="AB378" s="293"/>
      <c r="AC378" s="293"/>
      <c r="AD378" s="293"/>
    </row>
    <row r="379" spans="1:30" ht="14.25" customHeight="1" x14ac:dyDescent="0.3">
      <c r="A379" s="293"/>
      <c r="B379" s="293"/>
      <c r="C379" s="293"/>
      <c r="D379" s="293"/>
      <c r="E379" s="293"/>
      <c r="F379" s="293"/>
      <c r="G379" s="293"/>
      <c r="H379" s="293"/>
      <c r="I379" s="293"/>
      <c r="J379" s="293"/>
      <c r="K379" s="293"/>
      <c r="L379" s="293"/>
      <c r="M379" s="293"/>
      <c r="N379" s="293"/>
      <c r="O379" s="293"/>
      <c r="P379" s="293"/>
      <c r="Q379" s="293"/>
      <c r="R379" s="293"/>
      <c r="S379" s="293"/>
      <c r="T379" s="293"/>
      <c r="U379" s="293"/>
      <c r="V379" s="293"/>
      <c r="W379" s="293"/>
      <c r="X379" s="293"/>
      <c r="Y379" s="293"/>
      <c r="Z379" s="293"/>
      <c r="AA379" s="293"/>
      <c r="AB379" s="293"/>
      <c r="AC379" s="293"/>
      <c r="AD379" s="293"/>
    </row>
    <row r="380" spans="1:30" ht="14.25" customHeight="1" x14ac:dyDescent="0.3">
      <c r="A380" s="293"/>
      <c r="B380" s="293"/>
      <c r="C380" s="293"/>
      <c r="D380" s="293"/>
      <c r="E380" s="293"/>
      <c r="F380" s="293"/>
      <c r="G380" s="293"/>
      <c r="H380" s="293"/>
      <c r="I380" s="293"/>
      <c r="J380" s="293"/>
      <c r="K380" s="293"/>
      <c r="L380" s="293"/>
      <c r="M380" s="293"/>
      <c r="N380" s="293"/>
      <c r="O380" s="293"/>
      <c r="P380" s="293"/>
      <c r="Q380" s="293"/>
      <c r="R380" s="293"/>
      <c r="S380" s="293"/>
      <c r="T380" s="293"/>
      <c r="U380" s="293"/>
      <c r="V380" s="293"/>
      <c r="W380" s="293"/>
      <c r="X380" s="293"/>
      <c r="Y380" s="293"/>
      <c r="Z380" s="293"/>
      <c r="AA380" s="293"/>
      <c r="AB380" s="293"/>
      <c r="AC380" s="293"/>
      <c r="AD380" s="293"/>
    </row>
    <row r="381" spans="1:30" ht="14.25" customHeight="1" x14ac:dyDescent="0.3">
      <c r="A381" s="293"/>
      <c r="B381" s="293"/>
      <c r="C381" s="293"/>
      <c r="D381" s="293"/>
      <c r="E381" s="293"/>
      <c r="F381" s="293"/>
      <c r="G381" s="293"/>
      <c r="H381" s="293"/>
      <c r="I381" s="293"/>
      <c r="J381" s="293"/>
      <c r="K381" s="293"/>
      <c r="L381" s="293"/>
      <c r="M381" s="293"/>
      <c r="N381" s="293"/>
      <c r="O381" s="293"/>
      <c r="P381" s="293"/>
      <c r="Q381" s="293"/>
      <c r="R381" s="293"/>
      <c r="S381" s="293"/>
      <c r="T381" s="293"/>
      <c r="U381" s="293"/>
      <c r="V381" s="293"/>
      <c r="W381" s="293"/>
      <c r="X381" s="293"/>
      <c r="Y381" s="293"/>
      <c r="Z381" s="293"/>
      <c r="AA381" s="293"/>
      <c r="AB381" s="293"/>
      <c r="AC381" s="293"/>
      <c r="AD381" s="293"/>
    </row>
    <row r="382" spans="1:30" ht="14.25" customHeight="1" x14ac:dyDescent="0.3">
      <c r="A382" s="293"/>
      <c r="B382" s="293"/>
      <c r="C382" s="293"/>
      <c r="D382" s="293"/>
      <c r="E382" s="293"/>
      <c r="F382" s="293"/>
      <c r="G382" s="293"/>
      <c r="H382" s="293"/>
      <c r="I382" s="293"/>
      <c r="J382" s="293"/>
      <c r="K382" s="293"/>
      <c r="L382" s="293"/>
      <c r="M382" s="293"/>
      <c r="N382" s="293"/>
      <c r="O382" s="293"/>
      <c r="P382" s="293"/>
      <c r="Q382" s="293"/>
      <c r="R382" s="293"/>
      <c r="S382" s="293"/>
      <c r="T382" s="293"/>
      <c r="U382" s="293"/>
      <c r="V382" s="293"/>
      <c r="W382" s="293"/>
      <c r="X382" s="293"/>
      <c r="Y382" s="293"/>
      <c r="Z382" s="293"/>
      <c r="AA382" s="293"/>
      <c r="AB382" s="293"/>
      <c r="AC382" s="293"/>
      <c r="AD382" s="293"/>
    </row>
    <row r="383" spans="1:30" ht="14.25" customHeight="1" x14ac:dyDescent="0.3">
      <c r="A383" s="293"/>
      <c r="B383" s="293"/>
      <c r="C383" s="293"/>
      <c r="D383" s="293"/>
      <c r="E383" s="293"/>
      <c r="F383" s="293"/>
      <c r="G383" s="293"/>
      <c r="H383" s="293"/>
      <c r="I383" s="293"/>
      <c r="J383" s="293"/>
      <c r="K383" s="293"/>
      <c r="L383" s="293"/>
      <c r="M383" s="293"/>
      <c r="N383" s="293"/>
      <c r="O383" s="293"/>
      <c r="P383" s="293"/>
      <c r="Q383" s="293"/>
      <c r="R383" s="293"/>
      <c r="S383" s="293"/>
      <c r="T383" s="293"/>
      <c r="U383" s="293"/>
      <c r="V383" s="293"/>
      <c r="W383" s="293"/>
      <c r="X383" s="293"/>
      <c r="Y383" s="293"/>
      <c r="Z383" s="293"/>
      <c r="AA383" s="293"/>
      <c r="AB383" s="293"/>
      <c r="AC383" s="293"/>
      <c r="AD383" s="293"/>
    </row>
    <row r="384" spans="1:30" ht="14.25" customHeight="1" x14ac:dyDescent="0.3">
      <c r="A384" s="293"/>
      <c r="B384" s="293"/>
      <c r="C384" s="293"/>
      <c r="D384" s="293"/>
      <c r="E384" s="293"/>
      <c r="F384" s="293"/>
      <c r="G384" s="293"/>
      <c r="H384" s="293"/>
      <c r="I384" s="293"/>
      <c r="J384" s="293"/>
      <c r="K384" s="293"/>
      <c r="L384" s="293"/>
      <c r="M384" s="293"/>
      <c r="N384" s="293"/>
      <c r="O384" s="293"/>
      <c r="P384" s="293"/>
      <c r="Q384" s="293"/>
      <c r="R384" s="293"/>
      <c r="S384" s="293"/>
      <c r="T384" s="293"/>
      <c r="U384" s="293"/>
      <c r="V384" s="293"/>
      <c r="W384" s="293"/>
      <c r="X384" s="293"/>
      <c r="Y384" s="293"/>
      <c r="Z384" s="293"/>
      <c r="AA384" s="293"/>
      <c r="AB384" s="293"/>
      <c r="AC384" s="293"/>
      <c r="AD384" s="293"/>
    </row>
    <row r="385" spans="1:30" ht="14.25" customHeight="1" x14ac:dyDescent="0.3">
      <c r="A385" s="293"/>
      <c r="B385" s="293"/>
      <c r="C385" s="293"/>
      <c r="D385" s="293"/>
      <c r="E385" s="293"/>
      <c r="F385" s="293"/>
      <c r="G385" s="293"/>
      <c r="H385" s="293"/>
      <c r="I385" s="293"/>
      <c r="J385" s="293"/>
      <c r="K385" s="293"/>
      <c r="L385" s="293"/>
      <c r="M385" s="293"/>
      <c r="N385" s="293"/>
      <c r="O385" s="293"/>
      <c r="P385" s="293"/>
      <c r="Q385" s="293"/>
      <c r="R385" s="293"/>
      <c r="S385" s="293"/>
      <c r="T385" s="293"/>
      <c r="U385" s="293"/>
      <c r="V385" s="293"/>
      <c r="W385" s="293"/>
      <c r="X385" s="293"/>
      <c r="Y385" s="293"/>
      <c r="Z385" s="293"/>
      <c r="AA385" s="293"/>
      <c r="AB385" s="293"/>
      <c r="AC385" s="293"/>
      <c r="AD385" s="293"/>
    </row>
    <row r="386" spans="1:30" ht="14.25" customHeight="1" x14ac:dyDescent="0.3">
      <c r="A386" s="293"/>
      <c r="B386" s="293"/>
      <c r="C386" s="293"/>
      <c r="D386" s="293"/>
      <c r="E386" s="293"/>
      <c r="F386" s="293"/>
      <c r="G386" s="293"/>
      <c r="H386" s="293"/>
      <c r="I386" s="293"/>
      <c r="J386" s="293"/>
      <c r="K386" s="293"/>
      <c r="L386" s="293"/>
      <c r="M386" s="293"/>
      <c r="N386" s="293"/>
      <c r="O386" s="293"/>
      <c r="P386" s="293"/>
      <c r="Q386" s="293"/>
      <c r="R386" s="293"/>
      <c r="S386" s="293"/>
      <c r="T386" s="293"/>
      <c r="U386" s="293"/>
      <c r="V386" s="293"/>
      <c r="W386" s="293"/>
      <c r="X386" s="293"/>
      <c r="Y386" s="293"/>
      <c r="Z386" s="293"/>
      <c r="AA386" s="293"/>
      <c r="AB386" s="293"/>
      <c r="AC386" s="293"/>
      <c r="AD386" s="293"/>
    </row>
    <row r="387" spans="1:30" ht="14.25" customHeight="1" x14ac:dyDescent="0.3">
      <c r="A387" s="293"/>
      <c r="B387" s="293"/>
      <c r="C387" s="293"/>
      <c r="D387" s="293"/>
      <c r="E387" s="293"/>
      <c r="F387" s="293"/>
      <c r="G387" s="293"/>
      <c r="H387" s="293"/>
      <c r="I387" s="293"/>
      <c r="J387" s="293"/>
      <c r="K387" s="293"/>
      <c r="L387" s="293"/>
      <c r="M387" s="293"/>
      <c r="N387" s="293"/>
      <c r="O387" s="293"/>
      <c r="P387" s="293"/>
      <c r="Q387" s="293"/>
      <c r="R387" s="293"/>
      <c r="S387" s="293"/>
      <c r="T387" s="293"/>
      <c r="U387" s="293"/>
      <c r="V387" s="293"/>
      <c r="W387" s="293"/>
      <c r="X387" s="293"/>
      <c r="Y387" s="293"/>
      <c r="Z387" s="293"/>
      <c r="AA387" s="293"/>
      <c r="AB387" s="293"/>
      <c r="AC387" s="293"/>
      <c r="AD387" s="293"/>
    </row>
    <row r="388" spans="1:30" ht="14.25" customHeight="1" x14ac:dyDescent="0.3">
      <c r="A388" s="293"/>
      <c r="B388" s="293"/>
      <c r="C388" s="293"/>
      <c r="D388" s="293"/>
      <c r="E388" s="293"/>
      <c r="F388" s="293"/>
      <c r="G388" s="293"/>
      <c r="H388" s="293"/>
      <c r="I388" s="293"/>
      <c r="J388" s="293"/>
      <c r="K388" s="293"/>
      <c r="L388" s="293"/>
      <c r="M388" s="293"/>
      <c r="N388" s="293"/>
      <c r="O388" s="293"/>
      <c r="P388" s="293"/>
      <c r="Q388" s="293"/>
      <c r="R388" s="293"/>
      <c r="S388" s="293"/>
      <c r="T388" s="293"/>
      <c r="U388" s="293"/>
      <c r="V388" s="293"/>
      <c r="W388" s="293"/>
      <c r="X388" s="293"/>
      <c r="Y388" s="293"/>
      <c r="Z388" s="293"/>
      <c r="AA388" s="293"/>
      <c r="AB388" s="293"/>
      <c r="AC388" s="293"/>
      <c r="AD388" s="293"/>
    </row>
    <row r="389" spans="1:30" ht="14.25" customHeight="1" x14ac:dyDescent="0.3">
      <c r="A389" s="293"/>
      <c r="B389" s="293"/>
      <c r="C389" s="293"/>
      <c r="D389" s="293"/>
      <c r="E389" s="293"/>
      <c r="F389" s="293"/>
      <c r="G389" s="293"/>
      <c r="H389" s="293"/>
      <c r="I389" s="293"/>
      <c r="J389" s="293"/>
      <c r="K389" s="293"/>
      <c r="L389" s="293"/>
      <c r="M389" s="293"/>
      <c r="N389" s="293"/>
      <c r="O389" s="293"/>
      <c r="P389" s="293"/>
      <c r="Q389" s="293"/>
      <c r="R389" s="293"/>
      <c r="S389" s="293"/>
      <c r="T389" s="293"/>
      <c r="U389" s="293"/>
      <c r="V389" s="293"/>
      <c r="W389" s="293"/>
      <c r="X389" s="293"/>
      <c r="Y389" s="293"/>
      <c r="Z389" s="293"/>
      <c r="AA389" s="293"/>
      <c r="AB389" s="293"/>
      <c r="AC389" s="293"/>
      <c r="AD389" s="293"/>
    </row>
    <row r="390" spans="1:30" ht="14.25" customHeight="1" x14ac:dyDescent="0.3">
      <c r="A390" s="293"/>
      <c r="B390" s="293"/>
      <c r="C390" s="293"/>
      <c r="D390" s="293"/>
      <c r="E390" s="293"/>
      <c r="F390" s="293"/>
      <c r="G390" s="293"/>
      <c r="H390" s="293"/>
      <c r="I390" s="293"/>
      <c r="J390" s="293"/>
      <c r="K390" s="293"/>
      <c r="L390" s="293"/>
      <c r="M390" s="293"/>
      <c r="N390" s="293"/>
      <c r="O390" s="293"/>
      <c r="P390" s="293"/>
      <c r="Q390" s="293"/>
      <c r="R390" s="293"/>
      <c r="S390" s="293"/>
      <c r="T390" s="293"/>
      <c r="U390" s="293"/>
      <c r="V390" s="293"/>
      <c r="W390" s="293"/>
      <c r="X390" s="293"/>
      <c r="Y390" s="293"/>
      <c r="Z390" s="293"/>
      <c r="AA390" s="293"/>
      <c r="AB390" s="293"/>
      <c r="AC390" s="293"/>
      <c r="AD390" s="293"/>
    </row>
    <row r="391" spans="1:30" ht="14.25" customHeight="1" x14ac:dyDescent="0.3">
      <c r="A391" s="293"/>
      <c r="B391" s="293"/>
      <c r="C391" s="293"/>
      <c r="D391" s="293"/>
      <c r="E391" s="293"/>
      <c r="F391" s="293"/>
      <c r="G391" s="293"/>
      <c r="H391" s="293"/>
      <c r="I391" s="293"/>
      <c r="J391" s="293"/>
      <c r="K391" s="293"/>
      <c r="L391" s="293"/>
      <c r="M391" s="293"/>
      <c r="N391" s="293"/>
      <c r="O391" s="293"/>
      <c r="P391" s="293"/>
      <c r="Q391" s="293"/>
      <c r="R391" s="293"/>
      <c r="S391" s="293"/>
      <c r="T391" s="293"/>
      <c r="U391" s="293"/>
      <c r="V391" s="293"/>
      <c r="W391" s="293"/>
      <c r="X391" s="293"/>
      <c r="Y391" s="293"/>
      <c r="Z391" s="293"/>
      <c r="AA391" s="293"/>
      <c r="AB391" s="293"/>
      <c r="AC391" s="293"/>
      <c r="AD391" s="293"/>
    </row>
    <row r="392" spans="1:30" ht="14.25" customHeight="1" x14ac:dyDescent="0.3">
      <c r="A392" s="293"/>
      <c r="B392" s="293"/>
      <c r="C392" s="293"/>
      <c r="D392" s="293"/>
      <c r="E392" s="293"/>
      <c r="F392" s="293"/>
      <c r="G392" s="293"/>
      <c r="H392" s="293"/>
      <c r="I392" s="293"/>
      <c r="J392" s="293"/>
      <c r="K392" s="293"/>
      <c r="L392" s="293"/>
      <c r="M392" s="293"/>
      <c r="N392" s="293"/>
      <c r="O392" s="293"/>
      <c r="P392" s="293"/>
      <c r="Q392" s="293"/>
      <c r="R392" s="293"/>
      <c r="S392" s="293"/>
      <c r="T392" s="293"/>
      <c r="U392" s="293"/>
      <c r="V392" s="293"/>
      <c r="W392" s="293"/>
      <c r="X392" s="293"/>
      <c r="Y392" s="293"/>
      <c r="Z392" s="293"/>
      <c r="AA392" s="293"/>
      <c r="AB392" s="293"/>
      <c r="AC392" s="293"/>
      <c r="AD392" s="293"/>
    </row>
    <row r="393" spans="1:30" ht="14.25" customHeight="1" x14ac:dyDescent="0.3">
      <c r="A393" s="293"/>
      <c r="B393" s="293"/>
      <c r="C393" s="293"/>
      <c r="D393" s="293"/>
      <c r="E393" s="293"/>
      <c r="F393" s="293"/>
      <c r="G393" s="293"/>
      <c r="H393" s="293"/>
      <c r="I393" s="293"/>
      <c r="J393" s="293"/>
      <c r="K393" s="293"/>
      <c r="L393" s="293"/>
      <c r="M393" s="293"/>
      <c r="N393" s="293"/>
      <c r="O393" s="293"/>
      <c r="P393" s="293"/>
      <c r="Q393" s="293"/>
      <c r="R393" s="293"/>
      <c r="S393" s="293"/>
      <c r="T393" s="293"/>
      <c r="U393" s="293"/>
      <c r="V393" s="293"/>
      <c r="W393" s="293"/>
      <c r="X393" s="293"/>
      <c r="Y393" s="293"/>
      <c r="Z393" s="293"/>
      <c r="AA393" s="293"/>
      <c r="AB393" s="293"/>
      <c r="AC393" s="293"/>
      <c r="AD393" s="293"/>
    </row>
    <row r="394" spans="1:30" ht="14.25" customHeight="1" x14ac:dyDescent="0.3">
      <c r="A394" s="293"/>
      <c r="B394" s="293"/>
      <c r="C394" s="293"/>
      <c r="D394" s="293"/>
      <c r="E394" s="293"/>
      <c r="F394" s="293"/>
      <c r="G394" s="293"/>
      <c r="H394" s="293"/>
      <c r="I394" s="293"/>
      <c r="J394" s="293"/>
      <c r="K394" s="293"/>
      <c r="L394" s="293"/>
      <c r="M394" s="293"/>
      <c r="N394" s="293"/>
      <c r="O394" s="293"/>
      <c r="P394" s="293"/>
      <c r="Q394" s="293"/>
      <c r="R394" s="293"/>
      <c r="S394" s="293"/>
      <c r="T394" s="293"/>
      <c r="U394" s="293"/>
      <c r="V394" s="293"/>
      <c r="W394" s="293"/>
      <c r="X394" s="293"/>
      <c r="Y394" s="293"/>
      <c r="Z394" s="293"/>
      <c r="AA394" s="293"/>
      <c r="AB394" s="293"/>
      <c r="AC394" s="293"/>
      <c r="AD394" s="293"/>
    </row>
    <row r="395" spans="1:30" ht="14.25" customHeight="1" x14ac:dyDescent="0.3">
      <c r="A395" s="293"/>
      <c r="B395" s="293"/>
      <c r="C395" s="293"/>
      <c r="D395" s="293"/>
      <c r="E395" s="293"/>
      <c r="F395" s="293"/>
      <c r="G395" s="293"/>
      <c r="H395" s="293"/>
      <c r="I395" s="293"/>
      <c r="J395" s="293"/>
      <c r="K395" s="293"/>
      <c r="L395" s="293"/>
      <c r="M395" s="293"/>
      <c r="N395" s="293"/>
      <c r="O395" s="293"/>
      <c r="P395" s="293"/>
      <c r="Q395" s="293"/>
      <c r="R395" s="293"/>
      <c r="S395" s="293"/>
      <c r="T395" s="293"/>
      <c r="U395" s="293"/>
      <c r="V395" s="293"/>
      <c r="W395" s="293"/>
      <c r="X395" s="293"/>
      <c r="Y395" s="293"/>
      <c r="Z395" s="293"/>
      <c r="AA395" s="293"/>
      <c r="AB395" s="293"/>
      <c r="AC395" s="293"/>
      <c r="AD395" s="293"/>
    </row>
    <row r="396" spans="1:30" ht="14.25" customHeight="1" x14ac:dyDescent="0.3">
      <c r="A396" s="293"/>
      <c r="B396" s="293"/>
      <c r="C396" s="293"/>
      <c r="D396" s="293"/>
      <c r="E396" s="293"/>
      <c r="F396" s="293"/>
      <c r="G396" s="293"/>
      <c r="H396" s="293"/>
      <c r="I396" s="293"/>
      <c r="J396" s="293"/>
      <c r="K396" s="293"/>
      <c r="L396" s="293"/>
      <c r="M396" s="293"/>
      <c r="N396" s="293"/>
      <c r="O396" s="293"/>
      <c r="P396" s="293"/>
      <c r="Q396" s="293"/>
      <c r="R396" s="293"/>
      <c r="S396" s="293"/>
      <c r="T396" s="293"/>
      <c r="U396" s="293"/>
      <c r="V396" s="293"/>
      <c r="W396" s="293"/>
      <c r="X396" s="293"/>
      <c r="Y396" s="293"/>
      <c r="Z396" s="293"/>
      <c r="AA396" s="293"/>
      <c r="AB396" s="293"/>
      <c r="AC396" s="293"/>
      <c r="AD396" s="293"/>
    </row>
    <row r="397" spans="1:30" ht="14.25" customHeight="1" x14ac:dyDescent="0.3">
      <c r="A397" s="293"/>
      <c r="B397" s="293"/>
      <c r="C397" s="293"/>
      <c r="D397" s="293"/>
      <c r="E397" s="293"/>
      <c r="F397" s="293"/>
      <c r="G397" s="293"/>
      <c r="H397" s="293"/>
      <c r="I397" s="293"/>
      <c r="J397" s="293"/>
      <c r="K397" s="293"/>
      <c r="L397" s="293"/>
      <c r="M397" s="293"/>
      <c r="N397" s="293"/>
      <c r="O397" s="293"/>
      <c r="P397" s="293"/>
      <c r="Q397" s="293"/>
      <c r="R397" s="293"/>
      <c r="S397" s="293"/>
      <c r="T397" s="293"/>
      <c r="U397" s="293"/>
      <c r="V397" s="293"/>
      <c r="W397" s="293"/>
      <c r="X397" s="293"/>
      <c r="Y397" s="293"/>
      <c r="Z397" s="293"/>
      <c r="AA397" s="293"/>
      <c r="AB397" s="293"/>
      <c r="AC397" s="293"/>
      <c r="AD397" s="293"/>
    </row>
    <row r="398" spans="1:30" ht="14.25" customHeight="1" x14ac:dyDescent="0.3">
      <c r="A398" s="293"/>
      <c r="B398" s="293"/>
      <c r="C398" s="293"/>
      <c r="D398" s="293"/>
      <c r="E398" s="293"/>
      <c r="F398" s="293"/>
      <c r="G398" s="293"/>
      <c r="H398" s="293"/>
      <c r="I398" s="293"/>
      <c r="J398" s="293"/>
      <c r="K398" s="293"/>
      <c r="L398" s="293"/>
      <c r="M398" s="293"/>
      <c r="N398" s="293"/>
      <c r="O398" s="293"/>
      <c r="P398" s="293"/>
      <c r="Q398" s="293"/>
      <c r="R398" s="293"/>
      <c r="S398" s="293"/>
      <c r="T398" s="293"/>
      <c r="U398" s="293"/>
      <c r="V398" s="293"/>
      <c r="W398" s="293"/>
      <c r="X398" s="293"/>
      <c r="Y398" s="293"/>
      <c r="Z398" s="293"/>
      <c r="AA398" s="293"/>
      <c r="AB398" s="293"/>
      <c r="AC398" s="293"/>
      <c r="AD398" s="293"/>
    </row>
    <row r="399" spans="1:30" ht="14.25" customHeight="1" x14ac:dyDescent="0.3">
      <c r="A399" s="293"/>
      <c r="B399" s="293"/>
      <c r="C399" s="293"/>
      <c r="D399" s="293"/>
      <c r="E399" s="293"/>
      <c r="F399" s="293"/>
      <c r="G399" s="293"/>
      <c r="H399" s="293"/>
      <c r="I399" s="293"/>
      <c r="J399" s="293"/>
      <c r="K399" s="293"/>
      <c r="L399" s="293"/>
      <c r="M399" s="293"/>
      <c r="N399" s="293"/>
      <c r="O399" s="293"/>
      <c r="P399" s="293"/>
      <c r="Q399" s="293"/>
      <c r="R399" s="293"/>
      <c r="S399" s="293"/>
      <c r="T399" s="293"/>
      <c r="U399" s="293"/>
      <c r="V399" s="293"/>
      <c r="W399" s="293"/>
      <c r="X399" s="293"/>
      <c r="Y399" s="293"/>
      <c r="Z399" s="293"/>
      <c r="AA399" s="293"/>
      <c r="AB399" s="293"/>
      <c r="AC399" s="293"/>
      <c r="AD399" s="293"/>
    </row>
    <row r="400" spans="1:30" ht="14.25" customHeight="1" x14ac:dyDescent="0.3">
      <c r="A400" s="293"/>
      <c r="B400" s="293"/>
      <c r="C400" s="293"/>
      <c r="D400" s="293"/>
      <c r="E400" s="293"/>
      <c r="F400" s="293"/>
      <c r="G400" s="293"/>
      <c r="H400" s="293"/>
      <c r="I400" s="293"/>
      <c r="J400" s="293"/>
      <c r="K400" s="293"/>
      <c r="L400" s="293"/>
      <c r="M400" s="293"/>
      <c r="N400" s="293"/>
      <c r="O400" s="293"/>
      <c r="P400" s="293"/>
      <c r="Q400" s="293"/>
      <c r="R400" s="293"/>
      <c r="S400" s="293"/>
      <c r="T400" s="293"/>
      <c r="U400" s="293"/>
      <c r="V400" s="293"/>
      <c r="W400" s="293"/>
      <c r="X400" s="293"/>
      <c r="Y400" s="293"/>
      <c r="Z400" s="293"/>
      <c r="AA400" s="293"/>
      <c r="AB400" s="293"/>
      <c r="AC400" s="293"/>
      <c r="AD400" s="293"/>
    </row>
    <row r="401" spans="1:30" ht="14.25" customHeight="1" x14ac:dyDescent="0.3">
      <c r="A401" s="293"/>
      <c r="B401" s="293"/>
      <c r="C401" s="293"/>
      <c r="D401" s="293"/>
      <c r="E401" s="293"/>
      <c r="F401" s="293"/>
      <c r="G401" s="293"/>
      <c r="H401" s="293"/>
      <c r="I401" s="293"/>
      <c r="J401" s="293"/>
      <c r="K401" s="293"/>
      <c r="L401" s="293"/>
      <c r="M401" s="293"/>
      <c r="N401" s="293"/>
      <c r="O401" s="293"/>
      <c r="P401" s="293"/>
      <c r="Q401" s="293"/>
      <c r="R401" s="293"/>
      <c r="S401" s="293"/>
      <c r="T401" s="293"/>
      <c r="U401" s="293"/>
      <c r="V401" s="293"/>
      <c r="W401" s="293"/>
      <c r="X401" s="293"/>
      <c r="Y401" s="293"/>
      <c r="Z401" s="293"/>
      <c r="AA401" s="293"/>
      <c r="AB401" s="293"/>
      <c r="AC401" s="293"/>
      <c r="AD401" s="293"/>
    </row>
    <row r="402" spans="1:30" ht="14.25" customHeight="1" x14ac:dyDescent="0.3">
      <c r="A402" s="293"/>
      <c r="B402" s="293"/>
      <c r="C402" s="293"/>
      <c r="D402" s="293"/>
      <c r="E402" s="293"/>
      <c r="F402" s="293"/>
      <c r="G402" s="293"/>
      <c r="H402" s="293"/>
      <c r="I402" s="293"/>
      <c r="J402" s="293"/>
      <c r="K402" s="293"/>
      <c r="L402" s="293"/>
      <c r="M402" s="293"/>
      <c r="N402" s="293"/>
      <c r="O402" s="293"/>
      <c r="P402" s="293"/>
      <c r="Q402" s="293"/>
      <c r="R402" s="293"/>
      <c r="S402" s="293"/>
      <c r="T402" s="293"/>
      <c r="U402" s="293"/>
      <c r="V402" s="293"/>
      <c r="W402" s="293"/>
      <c r="X402" s="293"/>
      <c r="Y402" s="293"/>
      <c r="Z402" s="293"/>
      <c r="AA402" s="293"/>
      <c r="AB402" s="293"/>
      <c r="AC402" s="293"/>
      <c r="AD402" s="293"/>
    </row>
    <row r="403" spans="1:30" ht="14.25" customHeight="1" x14ac:dyDescent="0.3">
      <c r="A403" s="293"/>
      <c r="B403" s="293"/>
      <c r="C403" s="293"/>
      <c r="D403" s="293"/>
      <c r="E403" s="293"/>
      <c r="F403" s="293"/>
      <c r="G403" s="293"/>
      <c r="H403" s="293"/>
      <c r="I403" s="293"/>
      <c r="J403" s="293"/>
      <c r="K403" s="293"/>
      <c r="L403" s="293"/>
      <c r="M403" s="293"/>
      <c r="N403" s="293"/>
      <c r="O403" s="293"/>
      <c r="P403" s="293"/>
      <c r="Q403" s="293"/>
      <c r="R403" s="293"/>
      <c r="S403" s="293"/>
      <c r="T403" s="293"/>
      <c r="U403" s="293"/>
      <c r="V403" s="293"/>
      <c r="W403" s="293"/>
      <c r="X403" s="293"/>
      <c r="Y403" s="293"/>
      <c r="Z403" s="293"/>
      <c r="AA403" s="293"/>
      <c r="AB403" s="293"/>
      <c r="AC403" s="293"/>
      <c r="AD403" s="293"/>
    </row>
    <row r="404" spans="1:30" ht="14.25" customHeight="1" x14ac:dyDescent="0.3">
      <c r="A404" s="293"/>
      <c r="B404" s="293"/>
      <c r="C404" s="293"/>
      <c r="D404" s="293"/>
      <c r="E404" s="293"/>
      <c r="F404" s="293"/>
      <c r="G404" s="293"/>
      <c r="H404" s="293"/>
      <c r="I404" s="293"/>
      <c r="J404" s="293"/>
      <c r="K404" s="293"/>
      <c r="L404" s="293"/>
      <c r="M404" s="293"/>
      <c r="N404" s="293"/>
      <c r="O404" s="293"/>
      <c r="P404" s="293"/>
      <c r="Q404" s="293"/>
      <c r="R404" s="293"/>
      <c r="S404" s="293"/>
      <c r="T404" s="293"/>
      <c r="U404" s="293"/>
      <c r="V404" s="293"/>
      <c r="W404" s="293"/>
      <c r="X404" s="293"/>
      <c r="Y404" s="293"/>
      <c r="Z404" s="293"/>
      <c r="AA404" s="293"/>
      <c r="AB404" s="293"/>
      <c r="AC404" s="293"/>
      <c r="AD404" s="293"/>
    </row>
    <row r="405" spans="1:30" ht="14.25" customHeight="1" x14ac:dyDescent="0.3">
      <c r="A405" s="293"/>
      <c r="B405" s="293"/>
      <c r="C405" s="293"/>
      <c r="D405" s="293"/>
      <c r="E405" s="293"/>
      <c r="F405" s="293"/>
      <c r="G405" s="293"/>
      <c r="H405" s="293"/>
      <c r="I405" s="293"/>
      <c r="J405" s="293"/>
      <c r="K405" s="293"/>
      <c r="L405" s="293"/>
      <c r="M405" s="293"/>
      <c r="N405" s="293"/>
      <c r="O405" s="293"/>
      <c r="P405" s="293"/>
      <c r="Q405" s="293"/>
      <c r="R405" s="293"/>
      <c r="S405" s="293"/>
      <c r="T405" s="293"/>
      <c r="U405" s="293"/>
      <c r="V405" s="293"/>
      <c r="W405" s="293"/>
      <c r="X405" s="293"/>
      <c r="Y405" s="293"/>
      <c r="Z405" s="293"/>
      <c r="AA405" s="293"/>
      <c r="AB405" s="293"/>
      <c r="AC405" s="293"/>
      <c r="AD405" s="293"/>
    </row>
    <row r="406" spans="1:30" ht="14.25" customHeight="1" x14ac:dyDescent="0.3">
      <c r="A406" s="293"/>
      <c r="B406" s="293"/>
      <c r="C406" s="293"/>
      <c r="D406" s="293"/>
      <c r="E406" s="293"/>
      <c r="F406" s="293"/>
      <c r="G406" s="293"/>
      <c r="H406" s="293"/>
      <c r="I406" s="293"/>
      <c r="J406" s="293"/>
      <c r="K406" s="293"/>
      <c r="L406" s="293"/>
      <c r="M406" s="293"/>
      <c r="N406" s="293"/>
      <c r="O406" s="293"/>
      <c r="P406" s="293"/>
      <c r="Q406" s="293"/>
      <c r="R406" s="293"/>
      <c r="S406" s="293"/>
      <c r="T406" s="293"/>
      <c r="U406" s="293"/>
      <c r="V406" s="293"/>
      <c r="W406" s="293"/>
      <c r="X406" s="293"/>
      <c r="Y406" s="293"/>
      <c r="Z406" s="293"/>
      <c r="AA406" s="293"/>
      <c r="AB406" s="293"/>
      <c r="AC406" s="293"/>
      <c r="AD406" s="293"/>
    </row>
    <row r="407" spans="1:30" ht="14.25" customHeight="1" x14ac:dyDescent="0.3">
      <c r="A407" s="293"/>
      <c r="B407" s="293"/>
      <c r="C407" s="293"/>
      <c r="D407" s="293"/>
      <c r="E407" s="293"/>
      <c r="F407" s="293"/>
      <c r="G407" s="293"/>
      <c r="H407" s="293"/>
      <c r="I407" s="293"/>
      <c r="J407" s="293"/>
      <c r="K407" s="293"/>
      <c r="L407" s="293"/>
      <c r="M407" s="293"/>
      <c r="N407" s="293"/>
      <c r="O407" s="293"/>
      <c r="P407" s="293"/>
      <c r="Q407" s="293"/>
      <c r="R407" s="293"/>
      <c r="S407" s="293"/>
      <c r="T407" s="293"/>
      <c r="U407" s="293"/>
      <c r="V407" s="293"/>
      <c r="W407" s="293"/>
      <c r="X407" s="293"/>
      <c r="Y407" s="293"/>
      <c r="Z407" s="293"/>
      <c r="AA407" s="293"/>
      <c r="AB407" s="293"/>
      <c r="AC407" s="293"/>
      <c r="AD407" s="293"/>
    </row>
    <row r="408" spans="1:30" ht="14.25" customHeight="1" x14ac:dyDescent="0.3">
      <c r="A408" s="293"/>
      <c r="B408" s="293"/>
      <c r="C408" s="293"/>
      <c r="D408" s="293"/>
      <c r="E408" s="293"/>
      <c r="F408" s="293"/>
      <c r="G408" s="293"/>
      <c r="H408" s="293"/>
      <c r="I408" s="293"/>
      <c r="J408" s="293"/>
      <c r="K408" s="293"/>
      <c r="L408" s="293"/>
      <c r="M408" s="293"/>
      <c r="N408" s="293"/>
      <c r="O408" s="293"/>
      <c r="P408" s="293"/>
      <c r="Q408" s="293"/>
      <c r="R408" s="293"/>
      <c r="S408" s="293"/>
      <c r="T408" s="293"/>
      <c r="U408" s="293"/>
      <c r="V408" s="293"/>
      <c r="W408" s="293"/>
      <c r="X408" s="293"/>
      <c r="Y408" s="293"/>
      <c r="Z408" s="293"/>
      <c r="AA408" s="293"/>
      <c r="AB408" s="293"/>
      <c r="AC408" s="293"/>
      <c r="AD408" s="293"/>
    </row>
    <row r="409" spans="1:30" ht="14.25" customHeight="1" x14ac:dyDescent="0.3">
      <c r="A409" s="293"/>
      <c r="B409" s="293"/>
      <c r="C409" s="293"/>
      <c r="D409" s="293"/>
      <c r="E409" s="293"/>
      <c r="F409" s="293"/>
      <c r="G409" s="293"/>
      <c r="H409" s="293"/>
      <c r="I409" s="293"/>
      <c r="J409" s="293"/>
      <c r="K409" s="293"/>
      <c r="L409" s="293"/>
      <c r="M409" s="293"/>
      <c r="N409" s="293"/>
      <c r="O409" s="293"/>
      <c r="P409" s="293"/>
      <c r="Q409" s="293"/>
      <c r="R409" s="293"/>
      <c r="S409" s="293"/>
      <c r="T409" s="293"/>
      <c r="U409" s="293"/>
      <c r="V409" s="293"/>
      <c r="W409" s="293"/>
      <c r="X409" s="293"/>
      <c r="Y409" s="293"/>
      <c r="Z409" s="293"/>
      <c r="AA409" s="293"/>
      <c r="AB409" s="293"/>
      <c r="AC409" s="293"/>
      <c r="AD409" s="293"/>
    </row>
    <row r="410" spans="1:30" ht="14.25" customHeight="1" x14ac:dyDescent="0.3">
      <c r="A410" s="293"/>
      <c r="B410" s="293"/>
      <c r="C410" s="293"/>
      <c r="D410" s="293"/>
      <c r="E410" s="293"/>
      <c r="F410" s="293"/>
      <c r="G410" s="293"/>
      <c r="H410" s="293"/>
      <c r="I410" s="293"/>
      <c r="J410" s="293"/>
      <c r="K410" s="293"/>
      <c r="L410" s="293"/>
      <c r="M410" s="293"/>
      <c r="N410" s="293"/>
      <c r="O410" s="293"/>
      <c r="P410" s="293"/>
      <c r="Q410" s="293"/>
      <c r="R410" s="293"/>
      <c r="S410" s="293"/>
      <c r="T410" s="293"/>
      <c r="U410" s="293"/>
      <c r="V410" s="293"/>
      <c r="W410" s="293"/>
      <c r="X410" s="293"/>
      <c r="Y410" s="293"/>
      <c r="Z410" s="293"/>
      <c r="AA410" s="293"/>
      <c r="AB410" s="293"/>
      <c r="AC410" s="293"/>
      <c r="AD410" s="293"/>
    </row>
    <row r="411" spans="1:30" ht="14.25" customHeight="1" x14ac:dyDescent="0.3">
      <c r="A411" s="293"/>
      <c r="B411" s="293"/>
      <c r="C411" s="293"/>
      <c r="D411" s="293"/>
      <c r="E411" s="293"/>
      <c r="F411" s="293"/>
      <c r="G411" s="293"/>
      <c r="H411" s="293"/>
      <c r="I411" s="293"/>
      <c r="J411" s="293"/>
      <c r="K411" s="293"/>
      <c r="L411" s="293"/>
      <c r="M411" s="293"/>
      <c r="N411" s="293"/>
      <c r="O411" s="293"/>
      <c r="P411" s="293"/>
      <c r="Q411" s="293"/>
      <c r="R411" s="293"/>
      <c r="S411" s="293"/>
      <c r="T411" s="293"/>
      <c r="U411" s="293"/>
      <c r="V411" s="293"/>
      <c r="W411" s="293"/>
      <c r="X411" s="293"/>
      <c r="Y411" s="293"/>
      <c r="Z411" s="293"/>
      <c r="AA411" s="293"/>
      <c r="AB411" s="293"/>
      <c r="AC411" s="293"/>
      <c r="AD411" s="293"/>
    </row>
    <row r="412" spans="1:30" ht="14.25" customHeight="1" x14ac:dyDescent="0.3">
      <c r="A412" s="293"/>
      <c r="B412" s="293"/>
      <c r="C412" s="293"/>
      <c r="D412" s="293"/>
      <c r="E412" s="293"/>
      <c r="F412" s="293"/>
      <c r="G412" s="293"/>
      <c r="H412" s="293"/>
      <c r="I412" s="293"/>
      <c r="J412" s="293"/>
      <c r="K412" s="293"/>
      <c r="L412" s="293"/>
      <c r="M412" s="293"/>
      <c r="N412" s="293"/>
      <c r="O412" s="293"/>
      <c r="P412" s="293"/>
      <c r="Q412" s="293"/>
      <c r="R412" s="293"/>
      <c r="S412" s="293"/>
      <c r="T412" s="293"/>
      <c r="U412" s="293"/>
      <c r="V412" s="293"/>
      <c r="W412" s="293"/>
      <c r="X412" s="293"/>
      <c r="Y412" s="293"/>
      <c r="Z412" s="293"/>
      <c r="AA412" s="293"/>
      <c r="AB412" s="293"/>
      <c r="AC412" s="293"/>
      <c r="AD412" s="293"/>
    </row>
    <row r="413" spans="1:30" ht="14.25" customHeight="1" x14ac:dyDescent="0.3">
      <c r="A413" s="293"/>
      <c r="B413" s="293"/>
      <c r="C413" s="293"/>
      <c r="D413" s="293"/>
      <c r="E413" s="293"/>
      <c r="F413" s="293"/>
      <c r="G413" s="293"/>
      <c r="H413" s="293"/>
      <c r="I413" s="293"/>
      <c r="J413" s="293"/>
      <c r="K413" s="293"/>
      <c r="L413" s="293"/>
      <c r="M413" s="293"/>
      <c r="N413" s="293"/>
      <c r="O413" s="293"/>
      <c r="P413" s="293"/>
      <c r="Q413" s="293"/>
      <c r="R413" s="293"/>
      <c r="S413" s="293"/>
      <c r="T413" s="293"/>
      <c r="U413" s="293"/>
      <c r="V413" s="293"/>
      <c r="W413" s="293"/>
      <c r="X413" s="293"/>
      <c r="Y413" s="293"/>
      <c r="Z413" s="293"/>
      <c r="AA413" s="293"/>
      <c r="AB413" s="293"/>
      <c r="AC413" s="293"/>
      <c r="AD413" s="293"/>
    </row>
    <row r="414" spans="1:30" ht="14.25" customHeight="1" x14ac:dyDescent="0.3">
      <c r="A414" s="293"/>
      <c r="B414" s="293"/>
      <c r="C414" s="293"/>
      <c r="D414" s="293"/>
      <c r="E414" s="293"/>
      <c r="F414" s="293"/>
      <c r="G414" s="293"/>
      <c r="H414" s="293"/>
      <c r="I414" s="293"/>
      <c r="J414" s="293"/>
      <c r="K414" s="293"/>
      <c r="L414" s="293"/>
      <c r="M414" s="293"/>
      <c r="N414" s="293"/>
      <c r="O414" s="293"/>
      <c r="P414" s="293"/>
      <c r="Q414" s="293"/>
      <c r="R414" s="293"/>
      <c r="S414" s="293"/>
      <c r="T414" s="293"/>
      <c r="U414" s="293"/>
      <c r="V414" s="293"/>
      <c r="W414" s="293"/>
      <c r="X414" s="293"/>
      <c r="Y414" s="293"/>
      <c r="Z414" s="293"/>
      <c r="AA414" s="293"/>
      <c r="AB414" s="293"/>
      <c r="AC414" s="293"/>
      <c r="AD414" s="293"/>
    </row>
    <row r="415" spans="1:30" ht="14.25" customHeight="1" x14ac:dyDescent="0.3">
      <c r="A415" s="293"/>
      <c r="B415" s="293"/>
      <c r="C415" s="293"/>
      <c r="D415" s="293"/>
      <c r="E415" s="293"/>
      <c r="F415" s="293"/>
      <c r="G415" s="293"/>
      <c r="H415" s="293"/>
      <c r="I415" s="293"/>
      <c r="J415" s="293"/>
      <c r="K415" s="293"/>
      <c r="L415" s="293"/>
      <c r="M415" s="293"/>
      <c r="N415" s="293"/>
      <c r="O415" s="293"/>
      <c r="P415" s="293"/>
      <c r="Q415" s="293"/>
      <c r="R415" s="293"/>
      <c r="S415" s="293"/>
      <c r="T415" s="293"/>
      <c r="U415" s="293"/>
      <c r="V415" s="293"/>
      <c r="W415" s="293"/>
      <c r="X415" s="293"/>
      <c r="Y415" s="293"/>
      <c r="Z415" s="293"/>
      <c r="AA415" s="293"/>
      <c r="AB415" s="293"/>
      <c r="AC415" s="293"/>
      <c r="AD415" s="293"/>
    </row>
    <row r="416" spans="1:30" ht="14.25" customHeight="1" x14ac:dyDescent="0.3">
      <c r="A416" s="293"/>
      <c r="B416" s="293"/>
      <c r="C416" s="293"/>
      <c r="D416" s="293"/>
      <c r="E416" s="293"/>
      <c r="F416" s="293"/>
      <c r="G416" s="293"/>
      <c r="H416" s="293"/>
      <c r="I416" s="293"/>
      <c r="J416" s="293"/>
      <c r="K416" s="293"/>
      <c r="L416" s="293"/>
      <c r="M416" s="293"/>
      <c r="N416" s="293"/>
      <c r="O416" s="293"/>
      <c r="P416" s="293"/>
      <c r="Q416" s="293"/>
      <c r="R416" s="293"/>
      <c r="S416" s="293"/>
      <c r="T416" s="293"/>
      <c r="U416" s="293"/>
      <c r="V416" s="293"/>
      <c r="W416" s="293"/>
      <c r="X416" s="293"/>
      <c r="Y416" s="293"/>
      <c r="Z416" s="293"/>
      <c r="AA416" s="293"/>
      <c r="AB416" s="293"/>
      <c r="AC416" s="293"/>
      <c r="AD416" s="293"/>
    </row>
    <row r="417" spans="1:30" ht="14.25" customHeight="1" x14ac:dyDescent="0.3">
      <c r="A417" s="293"/>
      <c r="B417" s="293"/>
      <c r="C417" s="293"/>
      <c r="D417" s="293"/>
      <c r="E417" s="293"/>
      <c r="F417" s="293"/>
      <c r="G417" s="293"/>
      <c r="H417" s="293"/>
      <c r="I417" s="293"/>
      <c r="J417" s="293"/>
      <c r="K417" s="293"/>
      <c r="L417" s="293"/>
      <c r="M417" s="293"/>
      <c r="N417" s="293"/>
      <c r="O417" s="293"/>
      <c r="P417" s="293"/>
      <c r="Q417" s="293"/>
      <c r="R417" s="293"/>
      <c r="S417" s="293"/>
      <c r="T417" s="293"/>
      <c r="U417" s="293"/>
      <c r="V417" s="293"/>
      <c r="W417" s="293"/>
      <c r="X417" s="293"/>
      <c r="Y417" s="293"/>
      <c r="Z417" s="293"/>
      <c r="AA417" s="293"/>
      <c r="AB417" s="293"/>
      <c r="AC417" s="293"/>
      <c r="AD417" s="293"/>
    </row>
    <row r="418" spans="1:30" ht="14.25" customHeight="1" x14ac:dyDescent="0.3">
      <c r="A418" s="293"/>
      <c r="B418" s="293"/>
      <c r="C418" s="293"/>
      <c r="D418" s="293"/>
      <c r="E418" s="293"/>
      <c r="F418" s="293"/>
      <c r="G418" s="293"/>
      <c r="H418" s="293"/>
      <c r="I418" s="293"/>
      <c r="J418" s="293"/>
      <c r="K418" s="293"/>
      <c r="L418" s="293"/>
      <c r="M418" s="293"/>
      <c r="N418" s="293"/>
      <c r="O418" s="293"/>
      <c r="P418" s="293"/>
      <c r="Q418" s="293"/>
      <c r="R418" s="293"/>
      <c r="S418" s="293"/>
      <c r="T418" s="293"/>
      <c r="U418" s="293"/>
      <c r="V418" s="293"/>
      <c r="W418" s="293"/>
      <c r="X418" s="293"/>
      <c r="Y418" s="293"/>
      <c r="Z418" s="293"/>
      <c r="AA418" s="293"/>
      <c r="AB418" s="293"/>
      <c r="AC418" s="293"/>
      <c r="AD418" s="293"/>
    </row>
    <row r="419" spans="1:30" ht="14.25" customHeight="1" x14ac:dyDescent="0.3">
      <c r="A419" s="293"/>
      <c r="B419" s="293"/>
      <c r="C419" s="293"/>
      <c r="D419" s="293"/>
      <c r="E419" s="293"/>
      <c r="F419" s="293"/>
      <c r="G419" s="293"/>
      <c r="H419" s="293"/>
      <c r="I419" s="293"/>
      <c r="J419" s="293"/>
      <c r="K419" s="293"/>
      <c r="L419" s="293"/>
      <c r="M419" s="293"/>
      <c r="N419" s="293"/>
      <c r="O419" s="293"/>
      <c r="P419" s="293"/>
      <c r="Q419" s="293"/>
      <c r="R419" s="293"/>
      <c r="S419" s="293"/>
      <c r="T419" s="293"/>
      <c r="U419" s="293"/>
      <c r="V419" s="293"/>
      <c r="W419" s="293"/>
      <c r="X419" s="293"/>
      <c r="Y419" s="293"/>
      <c r="Z419" s="293"/>
      <c r="AA419" s="293"/>
      <c r="AB419" s="293"/>
      <c r="AC419" s="293"/>
      <c r="AD419" s="293"/>
    </row>
    <row r="420" spans="1:30" ht="14.25" customHeight="1" x14ac:dyDescent="0.3">
      <c r="A420" s="293"/>
      <c r="B420" s="293"/>
      <c r="C420" s="293"/>
      <c r="D420" s="293"/>
      <c r="E420" s="293"/>
      <c r="F420" s="293"/>
      <c r="G420" s="293"/>
      <c r="H420" s="293"/>
      <c r="I420" s="293"/>
      <c r="J420" s="293"/>
      <c r="K420" s="293"/>
      <c r="L420" s="293"/>
      <c r="M420" s="293"/>
      <c r="N420" s="293"/>
      <c r="O420" s="293"/>
      <c r="P420" s="293"/>
      <c r="Q420" s="293"/>
      <c r="R420" s="293"/>
      <c r="S420" s="293"/>
      <c r="T420" s="293"/>
      <c r="U420" s="293"/>
      <c r="V420" s="293"/>
      <c r="W420" s="293"/>
      <c r="X420" s="293"/>
      <c r="Y420" s="293"/>
      <c r="Z420" s="293"/>
      <c r="AA420" s="293"/>
      <c r="AB420" s="293"/>
      <c r="AC420" s="293"/>
      <c r="AD420" s="293"/>
    </row>
    <row r="421" spans="1:30" ht="14.25" customHeight="1" x14ac:dyDescent="0.3">
      <c r="A421" s="293"/>
      <c r="B421" s="293"/>
      <c r="C421" s="293"/>
      <c r="D421" s="293"/>
      <c r="E421" s="293"/>
      <c r="F421" s="293"/>
      <c r="G421" s="293"/>
      <c r="H421" s="293"/>
      <c r="I421" s="293"/>
      <c r="J421" s="293"/>
      <c r="K421" s="293"/>
      <c r="L421" s="293"/>
      <c r="M421" s="293"/>
      <c r="N421" s="293"/>
      <c r="O421" s="293"/>
      <c r="P421" s="293"/>
      <c r="Q421" s="293"/>
      <c r="R421" s="293"/>
      <c r="S421" s="293"/>
      <c r="T421" s="293"/>
      <c r="U421" s="293"/>
      <c r="V421" s="293"/>
      <c r="W421" s="293"/>
      <c r="X421" s="293"/>
      <c r="Y421" s="293"/>
      <c r="Z421" s="293"/>
      <c r="AA421" s="293"/>
      <c r="AB421" s="293"/>
      <c r="AC421" s="293"/>
      <c r="AD421" s="293"/>
    </row>
    <row r="422" spans="1:30" ht="14.25" customHeight="1" x14ac:dyDescent="0.3">
      <c r="A422" s="293"/>
      <c r="B422" s="293"/>
      <c r="C422" s="293"/>
      <c r="D422" s="293"/>
      <c r="E422" s="293"/>
      <c r="F422" s="293"/>
      <c r="G422" s="293"/>
      <c r="H422" s="293"/>
      <c r="I422" s="293"/>
      <c r="J422" s="293"/>
      <c r="K422" s="293"/>
      <c r="L422" s="293"/>
      <c r="M422" s="293"/>
      <c r="N422" s="293"/>
      <c r="O422" s="293"/>
      <c r="P422" s="293"/>
      <c r="Q422" s="293"/>
      <c r="R422" s="293"/>
      <c r="S422" s="293"/>
      <c r="T422" s="293"/>
      <c r="U422" s="293"/>
      <c r="V422" s="293"/>
      <c r="W422" s="293"/>
      <c r="X422" s="293"/>
      <c r="Y422" s="293"/>
      <c r="Z422" s="293"/>
      <c r="AA422" s="293"/>
      <c r="AB422" s="293"/>
      <c r="AC422" s="293"/>
      <c r="AD422" s="293"/>
    </row>
    <row r="423" spans="1:30" ht="14.25" customHeight="1" x14ac:dyDescent="0.3">
      <c r="A423" s="293"/>
      <c r="B423" s="293"/>
      <c r="C423" s="293"/>
      <c r="D423" s="293"/>
      <c r="E423" s="293"/>
      <c r="F423" s="293"/>
      <c r="G423" s="293"/>
      <c r="H423" s="293"/>
      <c r="I423" s="293"/>
      <c r="J423" s="293"/>
      <c r="K423" s="293"/>
      <c r="L423" s="293"/>
      <c r="M423" s="293"/>
      <c r="N423" s="293"/>
      <c r="O423" s="293"/>
      <c r="P423" s="293"/>
      <c r="Q423" s="293"/>
      <c r="R423" s="293"/>
      <c r="S423" s="293"/>
      <c r="T423" s="293"/>
      <c r="U423" s="293"/>
      <c r="V423" s="293"/>
      <c r="W423" s="293"/>
      <c r="X423" s="293"/>
      <c r="Y423" s="293"/>
      <c r="Z423" s="293"/>
      <c r="AA423" s="293"/>
      <c r="AB423" s="293"/>
      <c r="AC423" s="293"/>
      <c r="AD423" s="293"/>
    </row>
    <row r="424" spans="1:30" ht="14.25" customHeight="1" x14ac:dyDescent="0.3">
      <c r="A424" s="293"/>
      <c r="B424" s="293"/>
      <c r="C424" s="293"/>
      <c r="D424" s="293"/>
      <c r="E424" s="293"/>
      <c r="F424" s="293"/>
      <c r="G424" s="293"/>
      <c r="H424" s="293"/>
      <c r="I424" s="293"/>
      <c r="J424" s="293"/>
      <c r="K424" s="293"/>
      <c r="L424" s="293"/>
      <c r="M424" s="293"/>
      <c r="N424" s="293"/>
      <c r="O424" s="293"/>
      <c r="P424" s="293"/>
      <c r="Q424" s="293"/>
      <c r="R424" s="293"/>
      <c r="S424" s="293"/>
      <c r="T424" s="293"/>
      <c r="U424" s="293"/>
      <c r="V424" s="293"/>
      <c r="W424" s="293"/>
      <c r="X424" s="293"/>
      <c r="Y424" s="293"/>
      <c r="Z424" s="293"/>
      <c r="AA424" s="293"/>
      <c r="AB424" s="293"/>
      <c r="AC424" s="293"/>
      <c r="AD424" s="293"/>
    </row>
    <row r="425" spans="1:30" ht="14.25" customHeight="1" x14ac:dyDescent="0.3">
      <c r="A425" s="293"/>
      <c r="B425" s="293"/>
      <c r="C425" s="293"/>
      <c r="D425" s="293"/>
      <c r="E425" s="293"/>
      <c r="F425" s="293"/>
      <c r="G425" s="293"/>
      <c r="H425" s="293"/>
      <c r="I425" s="293"/>
      <c r="J425" s="293"/>
      <c r="K425" s="293"/>
      <c r="L425" s="293"/>
      <c r="M425" s="293"/>
      <c r="N425" s="293"/>
      <c r="O425" s="293"/>
      <c r="P425" s="293"/>
      <c r="Q425" s="293"/>
      <c r="R425" s="293"/>
      <c r="S425" s="293"/>
      <c r="T425" s="293"/>
      <c r="U425" s="293"/>
      <c r="V425" s="293"/>
      <c r="W425" s="293"/>
      <c r="X425" s="293"/>
      <c r="Y425" s="293"/>
      <c r="Z425" s="293"/>
      <c r="AA425" s="293"/>
      <c r="AB425" s="293"/>
      <c r="AC425" s="293"/>
      <c r="AD425" s="293"/>
    </row>
    <row r="426" spans="1:30" ht="14.25" customHeight="1" x14ac:dyDescent="0.3">
      <c r="A426" s="293"/>
      <c r="B426" s="293"/>
      <c r="C426" s="293"/>
      <c r="D426" s="293"/>
      <c r="E426" s="293"/>
      <c r="F426" s="293"/>
      <c r="G426" s="293"/>
      <c r="H426" s="293"/>
      <c r="I426" s="293"/>
      <c r="J426" s="293"/>
      <c r="K426" s="293"/>
      <c r="L426" s="293"/>
      <c r="M426" s="293"/>
      <c r="N426" s="293"/>
      <c r="O426" s="293"/>
      <c r="P426" s="293"/>
      <c r="Q426" s="293"/>
      <c r="R426" s="293"/>
      <c r="S426" s="293"/>
      <c r="T426" s="293"/>
      <c r="U426" s="293"/>
      <c r="V426" s="293"/>
      <c r="W426" s="293"/>
      <c r="X426" s="293"/>
      <c r="Y426" s="293"/>
      <c r="Z426" s="293"/>
      <c r="AA426" s="293"/>
      <c r="AB426" s="293"/>
      <c r="AC426" s="293"/>
      <c r="AD426" s="293"/>
    </row>
    <row r="427" spans="1:30" ht="14.25" customHeight="1" x14ac:dyDescent="0.3">
      <c r="A427" s="293"/>
      <c r="B427" s="293"/>
      <c r="C427" s="293"/>
      <c r="D427" s="293"/>
      <c r="E427" s="293"/>
      <c r="F427" s="293"/>
      <c r="G427" s="293"/>
      <c r="H427" s="293"/>
      <c r="I427" s="293"/>
      <c r="J427" s="293"/>
      <c r="K427" s="293"/>
      <c r="L427" s="293"/>
      <c r="M427" s="293"/>
      <c r="N427" s="293"/>
      <c r="O427" s="293"/>
      <c r="P427" s="293"/>
      <c r="Q427" s="293"/>
      <c r="R427" s="293"/>
      <c r="S427" s="293"/>
      <c r="T427" s="293"/>
      <c r="U427" s="293"/>
      <c r="V427" s="293"/>
      <c r="W427" s="293"/>
      <c r="X427" s="293"/>
      <c r="Y427" s="293"/>
      <c r="Z427" s="293"/>
      <c r="AA427" s="293"/>
      <c r="AB427" s="293"/>
      <c r="AC427" s="293"/>
      <c r="AD427" s="293"/>
    </row>
    <row r="428" spans="1:30" ht="14.25" customHeight="1" x14ac:dyDescent="0.3">
      <c r="A428" s="293"/>
      <c r="B428" s="293"/>
      <c r="C428" s="293"/>
      <c r="D428" s="293"/>
      <c r="E428" s="293"/>
      <c r="F428" s="293"/>
      <c r="G428" s="293"/>
      <c r="H428" s="293"/>
      <c r="I428" s="293"/>
      <c r="J428" s="293"/>
      <c r="K428" s="293"/>
      <c r="L428" s="293"/>
      <c r="M428" s="293"/>
      <c r="N428" s="293"/>
      <c r="O428" s="293"/>
      <c r="P428" s="293"/>
      <c r="Q428" s="293"/>
      <c r="R428" s="293"/>
      <c r="S428" s="293"/>
      <c r="T428" s="293"/>
      <c r="U428" s="293"/>
      <c r="V428" s="293"/>
      <c r="W428" s="293"/>
      <c r="X428" s="293"/>
      <c r="Y428" s="293"/>
      <c r="Z428" s="293"/>
      <c r="AA428" s="293"/>
      <c r="AB428" s="293"/>
      <c r="AC428" s="293"/>
      <c r="AD428" s="293"/>
    </row>
    <row r="429" spans="1:30" ht="14.25" customHeight="1" x14ac:dyDescent="0.3">
      <c r="A429" s="293"/>
      <c r="B429" s="293"/>
      <c r="C429" s="293"/>
      <c r="D429" s="293"/>
      <c r="E429" s="293"/>
      <c r="F429" s="293"/>
      <c r="G429" s="293"/>
      <c r="H429" s="293"/>
      <c r="I429" s="293"/>
      <c r="J429" s="293"/>
      <c r="K429" s="293"/>
      <c r="L429" s="293"/>
      <c r="M429" s="293"/>
      <c r="N429" s="293"/>
      <c r="O429" s="293"/>
      <c r="P429" s="293"/>
      <c r="Q429" s="293"/>
      <c r="R429" s="293"/>
      <c r="S429" s="293"/>
      <c r="T429" s="293"/>
      <c r="U429" s="293"/>
      <c r="V429" s="293"/>
      <c r="W429" s="293"/>
      <c r="X429" s="293"/>
      <c r="Y429" s="293"/>
      <c r="Z429" s="293"/>
      <c r="AA429" s="293"/>
      <c r="AB429" s="293"/>
      <c r="AC429" s="293"/>
      <c r="AD429" s="293"/>
    </row>
    <row r="430" spans="1:30" ht="14.25" customHeight="1" x14ac:dyDescent="0.3">
      <c r="A430" s="293"/>
      <c r="B430" s="293"/>
      <c r="C430" s="293"/>
      <c r="D430" s="293"/>
      <c r="E430" s="293"/>
      <c r="F430" s="293"/>
      <c r="G430" s="293"/>
      <c r="H430" s="293"/>
      <c r="I430" s="293"/>
      <c r="J430" s="293"/>
      <c r="K430" s="293"/>
      <c r="L430" s="293"/>
      <c r="M430" s="293"/>
      <c r="N430" s="293"/>
      <c r="O430" s="293"/>
      <c r="P430" s="293"/>
      <c r="Q430" s="293"/>
      <c r="R430" s="293"/>
      <c r="S430" s="293"/>
      <c r="T430" s="293"/>
      <c r="U430" s="293"/>
      <c r="V430" s="293"/>
      <c r="W430" s="293"/>
      <c r="X430" s="293"/>
      <c r="Y430" s="293"/>
      <c r="Z430" s="293"/>
      <c r="AA430" s="293"/>
      <c r="AB430" s="293"/>
      <c r="AC430" s="293"/>
      <c r="AD430" s="293"/>
    </row>
    <row r="431" spans="1:30" ht="14.25" customHeight="1" x14ac:dyDescent="0.3">
      <c r="A431" s="293"/>
      <c r="B431" s="293"/>
      <c r="C431" s="293"/>
      <c r="D431" s="293"/>
      <c r="E431" s="293"/>
      <c r="F431" s="293"/>
      <c r="G431" s="293"/>
      <c r="H431" s="293"/>
      <c r="I431" s="293"/>
      <c r="J431" s="293"/>
      <c r="K431" s="293"/>
      <c r="L431" s="293"/>
      <c r="M431" s="293"/>
      <c r="N431" s="293"/>
      <c r="O431" s="293"/>
      <c r="P431" s="293"/>
      <c r="Q431" s="293"/>
      <c r="R431" s="293"/>
      <c r="S431" s="293"/>
      <c r="T431" s="293"/>
      <c r="U431" s="293"/>
      <c r="V431" s="293"/>
      <c r="W431" s="293"/>
      <c r="X431" s="293"/>
      <c r="Y431" s="293"/>
      <c r="Z431" s="293"/>
      <c r="AA431" s="293"/>
      <c r="AB431" s="293"/>
      <c r="AC431" s="293"/>
      <c r="AD431" s="293"/>
    </row>
    <row r="432" spans="1:30" ht="14.25" customHeight="1" x14ac:dyDescent="0.3">
      <c r="A432" s="293"/>
      <c r="B432" s="293"/>
      <c r="C432" s="293"/>
      <c r="D432" s="293"/>
      <c r="E432" s="293"/>
      <c r="F432" s="293"/>
      <c r="G432" s="293"/>
      <c r="H432" s="293"/>
      <c r="I432" s="293"/>
      <c r="J432" s="293"/>
      <c r="K432" s="293"/>
      <c r="L432" s="293"/>
      <c r="M432" s="293"/>
      <c r="N432" s="293"/>
      <c r="O432" s="293"/>
      <c r="P432" s="293"/>
      <c r="Q432" s="293"/>
      <c r="R432" s="293"/>
      <c r="S432" s="293"/>
      <c r="T432" s="293"/>
      <c r="U432" s="293"/>
      <c r="V432" s="293"/>
      <c r="W432" s="293"/>
      <c r="X432" s="293"/>
      <c r="Y432" s="293"/>
      <c r="Z432" s="293"/>
      <c r="AA432" s="293"/>
      <c r="AB432" s="293"/>
      <c r="AC432" s="293"/>
      <c r="AD432" s="293"/>
    </row>
    <row r="433" spans="1:30" ht="14.25" customHeight="1" x14ac:dyDescent="0.3">
      <c r="A433" s="293"/>
      <c r="B433" s="293"/>
      <c r="C433" s="293"/>
      <c r="D433" s="293"/>
      <c r="E433" s="293"/>
      <c r="F433" s="293"/>
      <c r="G433" s="293"/>
      <c r="H433" s="293"/>
      <c r="I433" s="293"/>
      <c r="J433" s="293"/>
      <c r="K433" s="293"/>
      <c r="L433" s="293"/>
      <c r="M433" s="293"/>
      <c r="N433" s="293"/>
      <c r="O433" s="293"/>
      <c r="P433" s="293"/>
      <c r="Q433" s="293"/>
      <c r="R433" s="293"/>
      <c r="S433" s="293"/>
      <c r="T433" s="293"/>
      <c r="U433" s="293"/>
      <c r="V433" s="293"/>
      <c r="W433" s="293"/>
      <c r="X433" s="293"/>
      <c r="Y433" s="293"/>
      <c r="Z433" s="293"/>
      <c r="AA433" s="293"/>
      <c r="AB433" s="293"/>
      <c r="AC433" s="293"/>
      <c r="AD433" s="293"/>
    </row>
    <row r="434" spans="1:30" ht="14.25" customHeight="1" x14ac:dyDescent="0.3">
      <c r="A434" s="293"/>
      <c r="B434" s="293"/>
      <c r="C434" s="293"/>
      <c r="D434" s="293"/>
      <c r="E434" s="293"/>
      <c r="F434" s="293"/>
      <c r="G434" s="293"/>
      <c r="H434" s="293"/>
      <c r="I434" s="293"/>
      <c r="J434" s="293"/>
      <c r="K434" s="293"/>
      <c r="L434" s="293"/>
      <c r="M434" s="293"/>
      <c r="N434" s="293"/>
      <c r="O434" s="293"/>
      <c r="P434" s="293"/>
      <c r="Q434" s="293"/>
      <c r="R434" s="293"/>
      <c r="S434" s="293"/>
      <c r="T434" s="293"/>
      <c r="U434" s="293"/>
      <c r="V434" s="293"/>
      <c r="W434" s="293"/>
      <c r="X434" s="293"/>
      <c r="Y434" s="293"/>
      <c r="Z434" s="293"/>
      <c r="AA434" s="293"/>
      <c r="AB434" s="293"/>
      <c r="AC434" s="293"/>
      <c r="AD434" s="293"/>
    </row>
    <row r="435" spans="1:30" ht="14.25" customHeight="1" x14ac:dyDescent="0.3">
      <c r="A435" s="293"/>
      <c r="B435" s="293"/>
      <c r="C435" s="293"/>
      <c r="D435" s="293"/>
      <c r="E435" s="293"/>
      <c r="F435" s="293"/>
      <c r="G435" s="293"/>
      <c r="H435" s="293"/>
      <c r="I435" s="293"/>
      <c r="J435" s="293"/>
      <c r="K435" s="293"/>
      <c r="L435" s="293"/>
      <c r="M435" s="293"/>
      <c r="N435" s="293"/>
      <c r="O435" s="293"/>
      <c r="P435" s="293"/>
      <c r="Q435" s="293"/>
      <c r="R435" s="293"/>
      <c r="S435" s="293"/>
      <c r="T435" s="293"/>
      <c r="U435" s="293"/>
      <c r="V435" s="293"/>
      <c r="W435" s="293"/>
      <c r="X435" s="293"/>
      <c r="Y435" s="293"/>
      <c r="Z435" s="293"/>
      <c r="AA435" s="293"/>
      <c r="AB435" s="293"/>
      <c r="AC435" s="293"/>
      <c r="AD435" s="293"/>
    </row>
    <row r="436" spans="1:30" ht="14.25" customHeight="1" x14ac:dyDescent="0.3">
      <c r="A436" s="293"/>
      <c r="B436" s="293"/>
      <c r="C436" s="293"/>
      <c r="D436" s="293"/>
      <c r="E436" s="293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Q436" s="293"/>
      <c r="R436" s="293"/>
      <c r="S436" s="293"/>
      <c r="T436" s="293"/>
      <c r="U436" s="293"/>
      <c r="V436" s="293"/>
      <c r="W436" s="293"/>
      <c r="X436" s="293"/>
      <c r="Y436" s="293"/>
      <c r="Z436" s="293"/>
      <c r="AA436" s="293"/>
      <c r="AB436" s="293"/>
      <c r="AC436" s="293"/>
      <c r="AD436" s="293"/>
    </row>
    <row r="437" spans="1:30" ht="14.25" customHeight="1" x14ac:dyDescent="0.3">
      <c r="A437" s="293"/>
      <c r="B437" s="293"/>
      <c r="C437" s="293"/>
      <c r="D437" s="293"/>
      <c r="E437" s="293"/>
      <c r="F437" s="293"/>
      <c r="G437" s="293"/>
      <c r="H437" s="293"/>
      <c r="I437" s="293"/>
      <c r="J437" s="293"/>
      <c r="K437" s="293"/>
      <c r="L437" s="293"/>
      <c r="M437" s="293"/>
      <c r="N437" s="293"/>
      <c r="O437" s="293"/>
      <c r="P437" s="293"/>
      <c r="Q437" s="293"/>
      <c r="R437" s="293"/>
      <c r="S437" s="293"/>
      <c r="T437" s="293"/>
      <c r="U437" s="293"/>
      <c r="V437" s="293"/>
      <c r="W437" s="293"/>
      <c r="X437" s="293"/>
      <c r="Y437" s="293"/>
      <c r="Z437" s="293"/>
      <c r="AA437" s="293"/>
      <c r="AB437" s="293"/>
      <c r="AC437" s="293"/>
      <c r="AD437" s="293"/>
    </row>
    <row r="438" spans="1:30" ht="14.25" customHeight="1" x14ac:dyDescent="0.3">
      <c r="A438" s="293"/>
      <c r="B438" s="293"/>
      <c r="C438" s="293"/>
      <c r="D438" s="293"/>
      <c r="E438" s="293"/>
      <c r="F438" s="293"/>
      <c r="G438" s="293"/>
      <c r="H438" s="293"/>
      <c r="I438" s="293"/>
      <c r="J438" s="293"/>
      <c r="K438" s="293"/>
      <c r="L438" s="293"/>
      <c r="M438" s="293"/>
      <c r="N438" s="293"/>
      <c r="O438" s="293"/>
      <c r="P438" s="293"/>
      <c r="Q438" s="293"/>
      <c r="R438" s="293"/>
      <c r="S438" s="293"/>
      <c r="T438" s="293"/>
      <c r="U438" s="293"/>
      <c r="V438" s="293"/>
      <c r="W438" s="293"/>
      <c r="X438" s="293"/>
      <c r="Y438" s="293"/>
      <c r="Z438" s="293"/>
      <c r="AA438" s="293"/>
      <c r="AB438" s="293"/>
      <c r="AC438" s="293"/>
      <c r="AD438" s="293"/>
    </row>
    <row r="439" spans="1:30" ht="14.25" customHeight="1" x14ac:dyDescent="0.3">
      <c r="A439" s="293"/>
      <c r="B439" s="293"/>
      <c r="C439" s="293"/>
      <c r="D439" s="293"/>
      <c r="E439" s="293"/>
      <c r="F439" s="293"/>
      <c r="G439" s="293"/>
      <c r="H439" s="293"/>
      <c r="I439" s="293"/>
      <c r="J439" s="293"/>
      <c r="K439" s="293"/>
      <c r="L439" s="293"/>
      <c r="M439" s="293"/>
      <c r="N439" s="293"/>
      <c r="O439" s="293"/>
      <c r="P439" s="293"/>
      <c r="Q439" s="293"/>
      <c r="R439" s="293"/>
      <c r="S439" s="293"/>
      <c r="T439" s="293"/>
      <c r="U439" s="293"/>
      <c r="V439" s="293"/>
      <c r="W439" s="293"/>
      <c r="X439" s="293"/>
      <c r="Y439" s="293"/>
      <c r="Z439" s="293"/>
      <c r="AA439" s="293"/>
      <c r="AB439" s="293"/>
      <c r="AC439" s="293"/>
      <c r="AD439" s="293"/>
    </row>
    <row r="440" spans="1:30" ht="14.25" customHeight="1" x14ac:dyDescent="0.3">
      <c r="A440" s="293"/>
      <c r="B440" s="293"/>
      <c r="C440" s="293"/>
      <c r="D440" s="293"/>
      <c r="E440" s="293"/>
      <c r="F440" s="293"/>
      <c r="G440" s="293"/>
      <c r="H440" s="293"/>
      <c r="I440" s="293"/>
      <c r="J440" s="293"/>
      <c r="K440" s="293"/>
      <c r="L440" s="293"/>
      <c r="M440" s="293"/>
      <c r="N440" s="293"/>
      <c r="O440" s="293"/>
      <c r="P440" s="293"/>
      <c r="Q440" s="293"/>
      <c r="R440" s="293"/>
      <c r="S440" s="293"/>
      <c r="T440" s="293"/>
      <c r="U440" s="293"/>
      <c r="V440" s="293"/>
      <c r="W440" s="293"/>
      <c r="X440" s="293"/>
      <c r="Y440" s="293"/>
      <c r="Z440" s="293"/>
      <c r="AA440" s="293"/>
      <c r="AB440" s="293"/>
      <c r="AC440" s="293"/>
      <c r="AD440" s="293"/>
    </row>
    <row r="441" spans="1:30" ht="14.25" customHeight="1" x14ac:dyDescent="0.3">
      <c r="A441" s="293"/>
      <c r="B441" s="293"/>
      <c r="C441" s="293"/>
      <c r="D441" s="293"/>
      <c r="E441" s="293"/>
      <c r="F441" s="293"/>
      <c r="G441" s="293"/>
      <c r="H441" s="293"/>
      <c r="I441" s="293"/>
      <c r="J441" s="293"/>
      <c r="K441" s="293"/>
      <c r="L441" s="293"/>
      <c r="M441" s="293"/>
      <c r="N441" s="293"/>
      <c r="O441" s="293"/>
      <c r="P441" s="293"/>
      <c r="Q441" s="293"/>
      <c r="R441" s="293"/>
      <c r="S441" s="293"/>
      <c r="T441" s="293"/>
      <c r="U441" s="293"/>
      <c r="V441" s="293"/>
      <c r="W441" s="293"/>
      <c r="X441" s="293"/>
      <c r="Y441" s="293"/>
      <c r="Z441" s="293"/>
      <c r="AA441" s="293"/>
      <c r="AB441" s="293"/>
      <c r="AC441" s="293"/>
      <c r="AD441" s="293"/>
    </row>
    <row r="442" spans="1:30" ht="14.25" customHeight="1" x14ac:dyDescent="0.3">
      <c r="A442" s="293"/>
      <c r="B442" s="293"/>
      <c r="C442" s="293"/>
      <c r="D442" s="293"/>
      <c r="E442" s="293"/>
      <c r="F442" s="293"/>
      <c r="G442" s="293"/>
      <c r="H442" s="293"/>
      <c r="I442" s="293"/>
      <c r="J442" s="293"/>
      <c r="K442" s="293"/>
      <c r="L442" s="293"/>
      <c r="M442" s="293"/>
      <c r="N442" s="293"/>
      <c r="O442" s="293"/>
      <c r="P442" s="293"/>
      <c r="Q442" s="293"/>
      <c r="R442" s="293"/>
      <c r="S442" s="293"/>
      <c r="T442" s="293"/>
      <c r="U442" s="293"/>
      <c r="V442" s="293"/>
      <c r="W442" s="293"/>
      <c r="X442" s="293"/>
      <c r="Y442" s="293"/>
      <c r="Z442" s="293"/>
      <c r="AA442" s="293"/>
      <c r="AB442" s="293"/>
      <c r="AC442" s="293"/>
      <c r="AD442" s="293"/>
    </row>
    <row r="443" spans="1:30" ht="14.25" customHeight="1" x14ac:dyDescent="0.3">
      <c r="A443" s="293"/>
      <c r="B443" s="293"/>
      <c r="C443" s="293"/>
      <c r="D443" s="293"/>
      <c r="E443" s="293"/>
      <c r="F443" s="293"/>
      <c r="G443" s="293"/>
      <c r="H443" s="293"/>
      <c r="I443" s="293"/>
      <c r="J443" s="293"/>
      <c r="K443" s="293"/>
      <c r="L443" s="293"/>
      <c r="M443" s="293"/>
      <c r="N443" s="293"/>
      <c r="O443" s="293"/>
      <c r="P443" s="293"/>
      <c r="Q443" s="293"/>
      <c r="R443" s="293"/>
      <c r="S443" s="293"/>
      <c r="T443" s="293"/>
      <c r="U443" s="293"/>
      <c r="V443" s="293"/>
      <c r="W443" s="293"/>
      <c r="X443" s="293"/>
      <c r="Y443" s="293"/>
      <c r="Z443" s="293"/>
      <c r="AA443" s="293"/>
      <c r="AB443" s="293"/>
      <c r="AC443" s="293"/>
      <c r="AD443" s="293"/>
    </row>
    <row r="444" spans="1:30" ht="14.25" customHeight="1" x14ac:dyDescent="0.3">
      <c r="A444" s="293"/>
      <c r="B444" s="293"/>
      <c r="C444" s="293"/>
      <c r="D444" s="293"/>
      <c r="E444" s="293"/>
      <c r="F444" s="293"/>
      <c r="G444" s="293"/>
      <c r="H444" s="293"/>
      <c r="I444" s="293"/>
      <c r="J444" s="293"/>
      <c r="K444" s="293"/>
      <c r="L444" s="293"/>
      <c r="M444" s="293"/>
      <c r="N444" s="293"/>
      <c r="O444" s="293"/>
      <c r="P444" s="293"/>
      <c r="Q444" s="293"/>
      <c r="R444" s="293"/>
      <c r="S444" s="293"/>
      <c r="T444" s="293"/>
      <c r="U444" s="293"/>
      <c r="V444" s="293"/>
      <c r="W444" s="293"/>
      <c r="X444" s="293"/>
      <c r="Y444" s="293"/>
      <c r="Z444" s="293"/>
      <c r="AA444" s="293"/>
      <c r="AB444" s="293"/>
      <c r="AC444" s="293"/>
      <c r="AD444" s="293"/>
    </row>
    <row r="445" spans="1:30" ht="14.25" customHeight="1" x14ac:dyDescent="0.3">
      <c r="A445" s="293"/>
      <c r="B445" s="293"/>
      <c r="C445" s="293"/>
      <c r="D445" s="293"/>
      <c r="E445" s="293"/>
      <c r="F445" s="293"/>
      <c r="G445" s="293"/>
      <c r="H445" s="293"/>
      <c r="I445" s="293"/>
      <c r="J445" s="293"/>
      <c r="K445" s="293"/>
      <c r="L445" s="293"/>
      <c r="M445" s="293"/>
      <c r="N445" s="293"/>
      <c r="O445" s="293"/>
      <c r="P445" s="293"/>
      <c r="Q445" s="293"/>
      <c r="R445" s="293"/>
      <c r="S445" s="293"/>
      <c r="T445" s="293"/>
      <c r="U445" s="293"/>
      <c r="V445" s="293"/>
      <c r="W445" s="293"/>
      <c r="X445" s="293"/>
      <c r="Y445" s="293"/>
      <c r="Z445" s="293"/>
      <c r="AA445" s="293"/>
      <c r="AB445" s="293"/>
      <c r="AC445" s="293"/>
      <c r="AD445" s="293"/>
    </row>
    <row r="446" spans="1:30" ht="14.25" customHeight="1" x14ac:dyDescent="0.3">
      <c r="A446" s="293"/>
      <c r="B446" s="293"/>
      <c r="C446" s="293"/>
      <c r="D446" s="293"/>
      <c r="E446" s="293"/>
      <c r="F446" s="293"/>
      <c r="G446" s="293"/>
      <c r="H446" s="293"/>
      <c r="I446" s="293"/>
      <c r="J446" s="293"/>
      <c r="K446" s="293"/>
      <c r="L446" s="293"/>
      <c r="M446" s="293"/>
      <c r="N446" s="293"/>
      <c r="O446" s="293"/>
      <c r="P446" s="293"/>
      <c r="Q446" s="293"/>
      <c r="R446" s="293"/>
      <c r="S446" s="293"/>
      <c r="T446" s="293"/>
      <c r="U446" s="293"/>
      <c r="V446" s="293"/>
      <c r="W446" s="293"/>
      <c r="X446" s="293"/>
      <c r="Y446" s="293"/>
      <c r="Z446" s="293"/>
      <c r="AA446" s="293"/>
      <c r="AB446" s="293"/>
      <c r="AC446" s="293"/>
      <c r="AD446" s="293"/>
    </row>
    <row r="447" spans="1:30" ht="14.25" customHeight="1" x14ac:dyDescent="0.3">
      <c r="A447" s="293"/>
      <c r="B447" s="293"/>
      <c r="C447" s="293"/>
      <c r="D447" s="293"/>
      <c r="E447" s="293"/>
      <c r="F447" s="293"/>
      <c r="G447" s="293"/>
      <c r="H447" s="293"/>
      <c r="I447" s="293"/>
      <c r="J447" s="293"/>
      <c r="K447" s="293"/>
      <c r="L447" s="293"/>
      <c r="M447" s="293"/>
      <c r="N447" s="293"/>
      <c r="O447" s="293"/>
      <c r="P447" s="293"/>
      <c r="Q447" s="293"/>
      <c r="R447" s="293"/>
      <c r="S447" s="293"/>
      <c r="T447" s="293"/>
      <c r="U447" s="293"/>
      <c r="V447" s="293"/>
      <c r="W447" s="293"/>
      <c r="X447" s="293"/>
      <c r="Y447" s="293"/>
      <c r="Z447" s="293"/>
      <c r="AA447" s="293"/>
      <c r="AB447" s="293"/>
      <c r="AC447" s="293"/>
      <c r="AD447" s="293"/>
    </row>
    <row r="448" spans="1:30" ht="14.25" customHeight="1" x14ac:dyDescent="0.3">
      <c r="A448" s="293"/>
      <c r="B448" s="293"/>
      <c r="C448" s="293"/>
      <c r="D448" s="293"/>
      <c r="E448" s="293"/>
      <c r="F448" s="293"/>
      <c r="G448" s="293"/>
      <c r="H448" s="293"/>
      <c r="I448" s="293"/>
      <c r="J448" s="293"/>
      <c r="K448" s="293"/>
      <c r="L448" s="293"/>
      <c r="M448" s="293"/>
      <c r="N448" s="293"/>
      <c r="O448" s="293"/>
      <c r="P448" s="293"/>
      <c r="Q448" s="293"/>
      <c r="R448" s="293"/>
      <c r="S448" s="293"/>
      <c r="T448" s="293"/>
      <c r="U448" s="293"/>
      <c r="V448" s="293"/>
      <c r="W448" s="293"/>
      <c r="X448" s="293"/>
      <c r="Y448" s="293"/>
      <c r="Z448" s="293"/>
      <c r="AA448" s="293"/>
      <c r="AB448" s="293"/>
      <c r="AC448" s="293"/>
      <c r="AD448" s="293"/>
    </row>
    <row r="449" spans="1:30" ht="14.25" customHeight="1" x14ac:dyDescent="0.3">
      <c r="A449" s="293"/>
      <c r="B449" s="293"/>
      <c r="C449" s="293"/>
      <c r="D449" s="293"/>
      <c r="E449" s="293"/>
      <c r="F449" s="293"/>
      <c r="G449" s="293"/>
      <c r="H449" s="293"/>
      <c r="I449" s="293"/>
      <c r="J449" s="293"/>
      <c r="K449" s="293"/>
      <c r="L449" s="293"/>
      <c r="M449" s="293"/>
      <c r="N449" s="293"/>
      <c r="O449" s="293"/>
      <c r="P449" s="293"/>
      <c r="Q449" s="293"/>
      <c r="R449" s="293"/>
      <c r="S449" s="293"/>
      <c r="T449" s="293"/>
      <c r="U449" s="293"/>
      <c r="V449" s="293"/>
      <c r="W449" s="293"/>
      <c r="X449" s="293"/>
      <c r="Y449" s="293"/>
      <c r="Z449" s="293"/>
      <c r="AA449" s="293"/>
      <c r="AB449" s="293"/>
      <c r="AC449" s="293"/>
      <c r="AD449" s="293"/>
    </row>
    <row r="450" spans="1:30" ht="14.25" customHeight="1" x14ac:dyDescent="0.3">
      <c r="A450" s="293"/>
      <c r="B450" s="293"/>
      <c r="C450" s="293"/>
      <c r="D450" s="293"/>
      <c r="E450" s="293"/>
      <c r="F450" s="293"/>
      <c r="G450" s="293"/>
      <c r="H450" s="293"/>
      <c r="I450" s="293"/>
      <c r="J450" s="293"/>
      <c r="K450" s="293"/>
      <c r="L450" s="293"/>
      <c r="M450" s="293"/>
      <c r="N450" s="293"/>
      <c r="O450" s="293"/>
      <c r="P450" s="293"/>
      <c r="Q450" s="293"/>
      <c r="R450" s="293"/>
      <c r="S450" s="293"/>
      <c r="T450" s="293"/>
      <c r="U450" s="293"/>
      <c r="V450" s="293"/>
      <c r="W450" s="293"/>
      <c r="X450" s="293"/>
      <c r="Y450" s="293"/>
      <c r="Z450" s="293"/>
      <c r="AA450" s="293"/>
      <c r="AB450" s="293"/>
      <c r="AC450" s="293"/>
      <c r="AD450" s="293"/>
    </row>
    <row r="451" spans="1:30" ht="14.25" customHeight="1" x14ac:dyDescent="0.3">
      <c r="A451" s="293"/>
      <c r="B451" s="293"/>
      <c r="C451" s="293"/>
      <c r="D451" s="293"/>
      <c r="E451" s="293"/>
      <c r="F451" s="293"/>
      <c r="G451" s="293"/>
      <c r="H451" s="293"/>
      <c r="I451" s="293"/>
      <c r="J451" s="293"/>
      <c r="K451" s="293"/>
      <c r="L451" s="293"/>
      <c r="M451" s="293"/>
      <c r="N451" s="293"/>
      <c r="O451" s="293"/>
      <c r="P451" s="293"/>
      <c r="Q451" s="293"/>
      <c r="R451" s="293"/>
      <c r="S451" s="293"/>
      <c r="T451" s="293"/>
      <c r="U451" s="293"/>
      <c r="V451" s="293"/>
      <c r="W451" s="293"/>
      <c r="X451" s="293"/>
      <c r="Y451" s="293"/>
      <c r="Z451" s="293"/>
      <c r="AA451" s="293"/>
      <c r="AB451" s="293"/>
      <c r="AC451" s="293"/>
      <c r="AD451" s="293"/>
    </row>
    <row r="452" spans="1:30" ht="14.25" customHeight="1" x14ac:dyDescent="0.3">
      <c r="A452" s="293"/>
      <c r="B452" s="293"/>
      <c r="C452" s="293"/>
      <c r="D452" s="293"/>
      <c r="E452" s="293"/>
      <c r="F452" s="293"/>
      <c r="G452" s="293"/>
      <c r="H452" s="293"/>
      <c r="I452" s="293"/>
      <c r="J452" s="293"/>
      <c r="K452" s="293"/>
      <c r="L452" s="293"/>
      <c r="M452" s="293"/>
      <c r="N452" s="293"/>
      <c r="O452" s="293"/>
      <c r="P452" s="293"/>
      <c r="Q452" s="293"/>
      <c r="R452" s="293"/>
      <c r="S452" s="293"/>
      <c r="T452" s="293"/>
      <c r="U452" s="293"/>
      <c r="V452" s="293"/>
      <c r="W452" s="293"/>
      <c r="X452" s="293"/>
      <c r="Y452" s="293"/>
      <c r="Z452" s="293"/>
      <c r="AA452" s="293"/>
      <c r="AB452" s="293"/>
      <c r="AC452" s="293"/>
      <c r="AD452" s="293"/>
    </row>
    <row r="453" spans="1:30" ht="14.25" customHeight="1" x14ac:dyDescent="0.3">
      <c r="A453" s="293"/>
      <c r="B453" s="293"/>
      <c r="C453" s="293"/>
      <c r="D453" s="293"/>
      <c r="E453" s="293"/>
      <c r="F453" s="293"/>
      <c r="G453" s="293"/>
      <c r="H453" s="293"/>
      <c r="I453" s="293"/>
      <c r="J453" s="293"/>
      <c r="K453" s="293"/>
      <c r="L453" s="293"/>
      <c r="M453" s="293"/>
      <c r="N453" s="293"/>
      <c r="O453" s="293"/>
      <c r="P453" s="293"/>
      <c r="Q453" s="293"/>
      <c r="R453" s="293"/>
      <c r="S453" s="293"/>
      <c r="T453" s="293"/>
      <c r="U453" s="293"/>
      <c r="V453" s="293"/>
      <c r="W453" s="293"/>
      <c r="X453" s="293"/>
      <c r="Y453" s="293"/>
      <c r="Z453" s="293"/>
      <c r="AA453" s="293"/>
      <c r="AB453" s="293"/>
      <c r="AC453" s="293"/>
      <c r="AD453" s="293"/>
    </row>
    <row r="454" spans="1:30" ht="14.25" customHeight="1" x14ac:dyDescent="0.3">
      <c r="A454" s="293"/>
      <c r="B454" s="293"/>
      <c r="C454" s="293"/>
      <c r="D454" s="293"/>
      <c r="E454" s="293"/>
      <c r="F454" s="293"/>
      <c r="G454" s="293"/>
      <c r="H454" s="293"/>
      <c r="I454" s="293"/>
      <c r="J454" s="293"/>
      <c r="K454" s="293"/>
      <c r="L454" s="293"/>
      <c r="M454" s="293"/>
      <c r="N454" s="293"/>
      <c r="O454" s="293"/>
      <c r="P454" s="293"/>
      <c r="Q454" s="293"/>
      <c r="R454" s="293"/>
      <c r="S454" s="293"/>
      <c r="T454" s="293"/>
      <c r="U454" s="293"/>
      <c r="V454" s="293"/>
      <c r="W454" s="293"/>
      <c r="X454" s="293"/>
      <c r="Y454" s="293"/>
      <c r="Z454" s="293"/>
      <c r="AA454" s="293"/>
      <c r="AB454" s="293"/>
      <c r="AC454" s="293"/>
      <c r="AD454" s="293"/>
    </row>
    <row r="455" spans="1:30" ht="14.25" customHeight="1" x14ac:dyDescent="0.3">
      <c r="A455" s="293"/>
      <c r="B455" s="293"/>
      <c r="C455" s="293"/>
      <c r="D455" s="293"/>
      <c r="E455" s="293"/>
      <c r="F455" s="293"/>
      <c r="G455" s="293"/>
      <c r="H455" s="293"/>
      <c r="I455" s="293"/>
      <c r="J455" s="293"/>
      <c r="K455" s="293"/>
      <c r="L455" s="293"/>
      <c r="M455" s="293"/>
      <c r="N455" s="293"/>
      <c r="O455" s="293"/>
      <c r="P455" s="293"/>
      <c r="Q455" s="293"/>
      <c r="R455" s="293"/>
      <c r="S455" s="293"/>
      <c r="T455" s="293"/>
      <c r="U455" s="293"/>
      <c r="V455" s="293"/>
      <c r="W455" s="293"/>
      <c r="X455" s="293"/>
      <c r="Y455" s="293"/>
      <c r="Z455" s="293"/>
      <c r="AA455" s="293"/>
      <c r="AB455" s="293"/>
      <c r="AC455" s="293"/>
      <c r="AD455" s="293"/>
    </row>
    <row r="456" spans="1:30" ht="14.25" customHeight="1" x14ac:dyDescent="0.3">
      <c r="A456" s="293"/>
      <c r="B456" s="293"/>
      <c r="C456" s="293"/>
      <c r="D456" s="293"/>
      <c r="E456" s="293"/>
      <c r="F456" s="293"/>
      <c r="G456" s="293"/>
      <c r="H456" s="293"/>
      <c r="I456" s="293"/>
      <c r="J456" s="293"/>
      <c r="K456" s="293"/>
      <c r="L456" s="293"/>
      <c r="M456" s="293"/>
      <c r="N456" s="293"/>
      <c r="O456" s="293"/>
      <c r="P456" s="293"/>
      <c r="Q456" s="293"/>
      <c r="R456" s="293"/>
      <c r="S456" s="293"/>
      <c r="T456" s="293"/>
      <c r="U456" s="293"/>
      <c r="V456" s="293"/>
      <c r="W456" s="293"/>
      <c r="X456" s="293"/>
      <c r="Y456" s="293"/>
      <c r="Z456" s="293"/>
      <c r="AA456" s="293"/>
      <c r="AB456" s="293"/>
      <c r="AC456" s="293"/>
      <c r="AD456" s="293"/>
    </row>
    <row r="457" spans="1:30" ht="14.25" customHeight="1" x14ac:dyDescent="0.3">
      <c r="A457" s="293"/>
      <c r="B457" s="293"/>
      <c r="C457" s="293"/>
      <c r="D457" s="293"/>
      <c r="E457" s="293"/>
      <c r="F457" s="293"/>
      <c r="G457" s="293"/>
      <c r="H457" s="293"/>
      <c r="I457" s="293"/>
      <c r="J457" s="293"/>
      <c r="K457" s="293"/>
      <c r="L457" s="293"/>
      <c r="M457" s="293"/>
      <c r="N457" s="293"/>
      <c r="O457" s="293"/>
      <c r="P457" s="293"/>
      <c r="Q457" s="293"/>
      <c r="R457" s="293"/>
      <c r="S457" s="293"/>
      <c r="T457" s="293"/>
      <c r="U457" s="293"/>
      <c r="V457" s="293"/>
      <c r="W457" s="293"/>
      <c r="X457" s="293"/>
      <c r="Y457" s="293"/>
      <c r="Z457" s="293"/>
      <c r="AA457" s="293"/>
      <c r="AB457" s="293"/>
      <c r="AC457" s="293"/>
      <c r="AD457" s="293"/>
    </row>
    <row r="458" spans="1:30" ht="14.25" customHeight="1" x14ac:dyDescent="0.3">
      <c r="A458" s="293"/>
      <c r="B458" s="293"/>
      <c r="C458" s="293"/>
      <c r="D458" s="293"/>
      <c r="E458" s="293"/>
      <c r="F458" s="293"/>
      <c r="G458" s="293"/>
      <c r="H458" s="293"/>
      <c r="I458" s="293"/>
      <c r="J458" s="293"/>
      <c r="K458" s="293"/>
      <c r="L458" s="293"/>
      <c r="M458" s="293"/>
      <c r="N458" s="293"/>
      <c r="O458" s="293"/>
      <c r="P458" s="293"/>
      <c r="Q458" s="293"/>
      <c r="R458" s="293"/>
      <c r="S458" s="293"/>
      <c r="T458" s="293"/>
      <c r="U458" s="293"/>
      <c r="V458" s="293"/>
      <c r="W458" s="293"/>
      <c r="X458" s="293"/>
      <c r="Y458" s="293"/>
      <c r="Z458" s="293"/>
      <c r="AA458" s="293"/>
      <c r="AB458" s="293"/>
      <c r="AC458" s="293"/>
      <c r="AD458" s="293"/>
    </row>
    <row r="459" spans="1:30" ht="14.25" customHeight="1" x14ac:dyDescent="0.3">
      <c r="A459" s="293"/>
      <c r="B459" s="293"/>
      <c r="C459" s="293"/>
      <c r="D459" s="293"/>
      <c r="E459" s="293"/>
      <c r="F459" s="293"/>
      <c r="G459" s="293"/>
      <c r="H459" s="293"/>
      <c r="I459" s="293"/>
      <c r="J459" s="293"/>
      <c r="K459" s="293"/>
      <c r="L459" s="293"/>
      <c r="M459" s="293"/>
      <c r="N459" s="293"/>
      <c r="O459" s="293"/>
      <c r="P459" s="293"/>
      <c r="Q459" s="293"/>
      <c r="R459" s="293"/>
      <c r="S459" s="293"/>
      <c r="T459" s="293"/>
      <c r="U459" s="293"/>
      <c r="V459" s="293"/>
      <c r="W459" s="293"/>
      <c r="X459" s="293"/>
      <c r="Y459" s="293"/>
      <c r="Z459" s="293"/>
      <c r="AA459" s="293"/>
      <c r="AB459" s="293"/>
      <c r="AC459" s="293"/>
      <c r="AD459" s="293"/>
    </row>
    <row r="460" spans="1:30" ht="14.25" customHeight="1" x14ac:dyDescent="0.3">
      <c r="A460" s="293"/>
      <c r="B460" s="293"/>
      <c r="C460" s="293"/>
      <c r="D460" s="293"/>
      <c r="E460" s="293"/>
      <c r="F460" s="293"/>
      <c r="G460" s="293"/>
      <c r="H460" s="293"/>
      <c r="I460" s="293"/>
      <c r="J460" s="293"/>
      <c r="K460" s="293"/>
      <c r="L460" s="293"/>
      <c r="M460" s="293"/>
      <c r="N460" s="293"/>
      <c r="O460" s="293"/>
      <c r="P460" s="293"/>
      <c r="Q460" s="293"/>
      <c r="R460" s="293"/>
      <c r="S460" s="293"/>
      <c r="T460" s="293"/>
      <c r="U460" s="293"/>
      <c r="V460" s="293"/>
      <c r="W460" s="293"/>
      <c r="X460" s="293"/>
      <c r="Y460" s="293"/>
      <c r="Z460" s="293"/>
      <c r="AA460" s="293"/>
      <c r="AB460" s="293"/>
      <c r="AC460" s="293"/>
      <c r="AD460" s="293"/>
    </row>
    <row r="461" spans="1:30" ht="14.25" customHeight="1" x14ac:dyDescent="0.3">
      <c r="A461" s="293"/>
      <c r="B461" s="293"/>
      <c r="C461" s="293"/>
      <c r="D461" s="293"/>
      <c r="E461" s="293"/>
      <c r="F461" s="293"/>
      <c r="G461" s="293"/>
      <c r="H461" s="293"/>
      <c r="I461" s="293"/>
      <c r="J461" s="293"/>
      <c r="K461" s="293"/>
      <c r="L461" s="293"/>
      <c r="M461" s="293"/>
      <c r="N461" s="293"/>
      <c r="O461" s="293"/>
      <c r="P461" s="293"/>
      <c r="Q461" s="293"/>
      <c r="R461" s="293"/>
      <c r="S461" s="293"/>
      <c r="T461" s="293"/>
      <c r="U461" s="293"/>
      <c r="V461" s="293"/>
      <c r="W461" s="293"/>
      <c r="X461" s="293"/>
      <c r="Y461" s="293"/>
      <c r="Z461" s="293"/>
      <c r="AA461" s="293"/>
      <c r="AB461" s="293"/>
      <c r="AC461" s="293"/>
      <c r="AD461" s="293"/>
    </row>
    <row r="462" spans="1:30" ht="14.25" customHeight="1" x14ac:dyDescent="0.3">
      <c r="A462" s="293"/>
      <c r="B462" s="293"/>
      <c r="C462" s="293"/>
      <c r="D462" s="293"/>
      <c r="E462" s="293"/>
      <c r="F462" s="293"/>
      <c r="G462" s="293"/>
      <c r="H462" s="293"/>
      <c r="I462" s="293"/>
      <c r="J462" s="293"/>
      <c r="K462" s="293"/>
      <c r="L462" s="293"/>
      <c r="M462" s="293"/>
      <c r="N462" s="293"/>
      <c r="O462" s="293"/>
      <c r="P462" s="293"/>
      <c r="Q462" s="293"/>
      <c r="R462" s="293"/>
      <c r="S462" s="293"/>
      <c r="T462" s="293"/>
      <c r="U462" s="293"/>
      <c r="V462" s="293"/>
      <c r="W462" s="293"/>
      <c r="X462" s="293"/>
      <c r="Y462" s="293"/>
      <c r="Z462" s="293"/>
      <c r="AA462" s="293"/>
      <c r="AB462" s="293"/>
      <c r="AC462" s="293"/>
      <c r="AD462" s="293"/>
    </row>
    <row r="463" spans="1:30" ht="14.25" customHeight="1" x14ac:dyDescent="0.3">
      <c r="A463" s="293"/>
      <c r="B463" s="293"/>
      <c r="C463" s="293"/>
      <c r="D463" s="293"/>
      <c r="E463" s="293"/>
      <c r="F463" s="293"/>
      <c r="G463" s="293"/>
      <c r="H463" s="293"/>
      <c r="I463" s="293"/>
      <c r="J463" s="293"/>
      <c r="K463" s="293"/>
      <c r="L463" s="293"/>
      <c r="M463" s="293"/>
      <c r="N463" s="293"/>
      <c r="O463" s="293"/>
      <c r="P463" s="293"/>
      <c r="Q463" s="293"/>
      <c r="R463" s="293"/>
      <c r="S463" s="293"/>
      <c r="T463" s="293"/>
      <c r="U463" s="293"/>
      <c r="V463" s="293"/>
      <c r="W463" s="293"/>
      <c r="X463" s="293"/>
      <c r="Y463" s="293"/>
      <c r="Z463" s="293"/>
      <c r="AA463" s="293"/>
      <c r="AB463" s="293"/>
      <c r="AC463" s="293"/>
      <c r="AD463" s="293"/>
    </row>
    <row r="464" spans="1:30" ht="14.25" customHeight="1" x14ac:dyDescent="0.3">
      <c r="A464" s="293"/>
      <c r="B464" s="293"/>
      <c r="C464" s="293"/>
      <c r="D464" s="293"/>
      <c r="E464" s="293"/>
      <c r="F464" s="293"/>
      <c r="G464" s="293"/>
      <c r="H464" s="293"/>
      <c r="I464" s="293"/>
      <c r="J464" s="293"/>
      <c r="K464" s="293"/>
      <c r="L464" s="293"/>
      <c r="M464" s="293"/>
      <c r="N464" s="293"/>
      <c r="O464" s="293"/>
      <c r="P464" s="293"/>
      <c r="Q464" s="293"/>
      <c r="R464" s="293"/>
      <c r="S464" s="293"/>
      <c r="T464" s="293"/>
      <c r="U464" s="293"/>
      <c r="V464" s="293"/>
      <c r="W464" s="293"/>
      <c r="X464" s="293"/>
      <c r="Y464" s="293"/>
      <c r="Z464" s="293"/>
      <c r="AA464" s="293"/>
      <c r="AB464" s="293"/>
      <c r="AC464" s="293"/>
      <c r="AD464" s="293"/>
    </row>
    <row r="465" spans="1:30" ht="14.25" customHeight="1" x14ac:dyDescent="0.3">
      <c r="A465" s="293"/>
      <c r="B465" s="293"/>
      <c r="C465" s="293"/>
      <c r="D465" s="293"/>
      <c r="E465" s="293"/>
      <c r="F465" s="293"/>
      <c r="G465" s="293"/>
      <c r="H465" s="293"/>
      <c r="I465" s="293"/>
      <c r="J465" s="293"/>
      <c r="K465" s="293"/>
      <c r="L465" s="293"/>
      <c r="M465" s="293"/>
      <c r="N465" s="293"/>
      <c r="O465" s="293"/>
      <c r="P465" s="293"/>
      <c r="Q465" s="293"/>
      <c r="R465" s="293"/>
      <c r="S465" s="293"/>
      <c r="T465" s="293"/>
      <c r="U465" s="293"/>
      <c r="V465" s="293"/>
      <c r="W465" s="293"/>
      <c r="X465" s="293"/>
      <c r="Y465" s="293"/>
      <c r="Z465" s="293"/>
      <c r="AA465" s="293"/>
      <c r="AB465" s="293"/>
      <c r="AC465" s="293"/>
      <c r="AD465" s="293"/>
    </row>
    <row r="466" spans="1:30" ht="14.25" customHeight="1" x14ac:dyDescent="0.3">
      <c r="A466" s="293"/>
      <c r="B466" s="293"/>
      <c r="C466" s="293"/>
      <c r="D466" s="293"/>
      <c r="E466" s="293"/>
      <c r="F466" s="293"/>
      <c r="G466" s="293"/>
      <c r="H466" s="293"/>
      <c r="I466" s="293"/>
      <c r="J466" s="293"/>
      <c r="K466" s="293"/>
      <c r="L466" s="293"/>
      <c r="M466" s="293"/>
      <c r="N466" s="293"/>
      <c r="O466" s="293"/>
      <c r="P466" s="293"/>
      <c r="Q466" s="293"/>
      <c r="R466" s="293"/>
      <c r="S466" s="293"/>
      <c r="T466" s="293"/>
      <c r="U466" s="293"/>
      <c r="V466" s="293"/>
      <c r="W466" s="293"/>
      <c r="X466" s="293"/>
      <c r="Y466" s="293"/>
      <c r="Z466" s="293"/>
      <c r="AA466" s="293"/>
      <c r="AB466" s="293"/>
      <c r="AC466" s="293"/>
      <c r="AD466" s="293"/>
    </row>
    <row r="467" spans="1:30" ht="14.25" customHeight="1" x14ac:dyDescent="0.3">
      <c r="A467" s="293"/>
      <c r="B467" s="293"/>
      <c r="C467" s="293"/>
      <c r="D467" s="293"/>
      <c r="E467" s="293"/>
      <c r="F467" s="293"/>
      <c r="G467" s="293"/>
      <c r="H467" s="293"/>
      <c r="I467" s="293"/>
      <c r="J467" s="293"/>
      <c r="K467" s="293"/>
      <c r="L467" s="293"/>
      <c r="M467" s="293"/>
      <c r="N467" s="293"/>
      <c r="O467" s="293"/>
      <c r="P467" s="293"/>
      <c r="Q467" s="293"/>
      <c r="R467" s="293"/>
      <c r="S467" s="293"/>
      <c r="T467" s="293"/>
      <c r="U467" s="293"/>
      <c r="V467" s="293"/>
      <c r="W467" s="293"/>
      <c r="X467" s="293"/>
      <c r="Y467" s="293"/>
      <c r="Z467" s="293"/>
      <c r="AA467" s="293"/>
      <c r="AB467" s="293"/>
      <c r="AC467" s="293"/>
      <c r="AD467" s="293"/>
    </row>
    <row r="468" spans="1:30" ht="14.25" customHeight="1" x14ac:dyDescent="0.3">
      <c r="A468" s="293"/>
      <c r="B468" s="293"/>
      <c r="C468" s="293"/>
      <c r="D468" s="293"/>
      <c r="E468" s="293"/>
      <c r="F468" s="293"/>
      <c r="G468" s="293"/>
      <c r="H468" s="293"/>
      <c r="I468" s="293"/>
      <c r="J468" s="293"/>
      <c r="K468" s="293"/>
      <c r="L468" s="293"/>
      <c r="M468" s="293"/>
      <c r="N468" s="293"/>
      <c r="O468" s="293"/>
      <c r="P468" s="293"/>
      <c r="Q468" s="293"/>
      <c r="R468" s="293"/>
      <c r="S468" s="293"/>
      <c r="T468" s="293"/>
      <c r="U468" s="293"/>
      <c r="V468" s="293"/>
      <c r="W468" s="293"/>
      <c r="X468" s="293"/>
      <c r="Y468" s="293"/>
      <c r="Z468" s="293"/>
      <c r="AA468" s="293"/>
      <c r="AB468" s="293"/>
      <c r="AC468" s="293"/>
      <c r="AD468" s="293"/>
    </row>
    <row r="469" spans="1:30" ht="14.25" customHeight="1" x14ac:dyDescent="0.3">
      <c r="A469" s="293"/>
      <c r="B469" s="293"/>
      <c r="C469" s="293"/>
      <c r="D469" s="293"/>
      <c r="E469" s="293"/>
      <c r="F469" s="293"/>
      <c r="G469" s="293"/>
      <c r="H469" s="293"/>
      <c r="I469" s="293"/>
      <c r="J469" s="293"/>
      <c r="K469" s="293"/>
      <c r="L469" s="293"/>
      <c r="M469" s="293"/>
      <c r="N469" s="293"/>
      <c r="O469" s="293"/>
      <c r="P469" s="293"/>
      <c r="Q469" s="293"/>
      <c r="R469" s="293"/>
      <c r="S469" s="293"/>
      <c r="T469" s="293"/>
      <c r="U469" s="293"/>
      <c r="V469" s="293"/>
      <c r="W469" s="293"/>
      <c r="X469" s="293"/>
      <c r="Y469" s="293"/>
      <c r="Z469" s="293"/>
      <c r="AA469" s="293"/>
      <c r="AB469" s="293"/>
      <c r="AC469" s="293"/>
      <c r="AD469" s="293"/>
    </row>
    <row r="470" spans="1:30" ht="14.25" customHeight="1" x14ac:dyDescent="0.3">
      <c r="A470" s="293"/>
      <c r="B470" s="293"/>
      <c r="C470" s="293"/>
      <c r="D470" s="293"/>
      <c r="E470" s="293"/>
      <c r="F470" s="293"/>
      <c r="G470" s="293"/>
      <c r="H470" s="293"/>
      <c r="I470" s="293"/>
      <c r="J470" s="293"/>
      <c r="K470" s="293"/>
      <c r="L470" s="293"/>
      <c r="M470" s="293"/>
      <c r="N470" s="293"/>
      <c r="O470" s="293"/>
      <c r="P470" s="293"/>
      <c r="Q470" s="293"/>
      <c r="R470" s="293"/>
      <c r="S470" s="293"/>
      <c r="T470" s="293"/>
      <c r="U470" s="293"/>
      <c r="V470" s="293"/>
      <c r="W470" s="293"/>
      <c r="X470" s="293"/>
      <c r="Y470" s="293"/>
      <c r="Z470" s="293"/>
      <c r="AA470" s="293"/>
      <c r="AB470" s="293"/>
      <c r="AC470" s="293"/>
      <c r="AD470" s="293"/>
    </row>
    <row r="471" spans="1:30" ht="14.25" customHeight="1" x14ac:dyDescent="0.3">
      <c r="A471" s="293"/>
      <c r="B471" s="293"/>
      <c r="C471" s="293"/>
      <c r="D471" s="293"/>
      <c r="E471" s="293"/>
      <c r="F471" s="293"/>
      <c r="G471" s="293"/>
      <c r="H471" s="293"/>
      <c r="I471" s="293"/>
      <c r="J471" s="293"/>
      <c r="K471" s="293"/>
      <c r="L471" s="293"/>
      <c r="M471" s="293"/>
      <c r="N471" s="293"/>
      <c r="O471" s="293"/>
      <c r="P471" s="293"/>
      <c r="Q471" s="293"/>
      <c r="R471" s="293"/>
      <c r="S471" s="293"/>
      <c r="T471" s="293"/>
      <c r="U471" s="293"/>
      <c r="V471" s="293"/>
      <c r="W471" s="293"/>
      <c r="X471" s="293"/>
      <c r="Y471" s="293"/>
      <c r="Z471" s="293"/>
      <c r="AA471" s="293"/>
      <c r="AB471" s="293"/>
      <c r="AC471" s="293"/>
      <c r="AD471" s="293"/>
    </row>
    <row r="472" spans="1:30" ht="14.25" customHeight="1" x14ac:dyDescent="0.3">
      <c r="A472" s="293"/>
      <c r="B472" s="293"/>
      <c r="C472" s="293"/>
      <c r="D472" s="293"/>
      <c r="E472" s="293"/>
      <c r="F472" s="293"/>
      <c r="G472" s="293"/>
      <c r="H472" s="293"/>
      <c r="I472" s="293"/>
      <c r="J472" s="293"/>
      <c r="K472" s="293"/>
      <c r="L472" s="293"/>
      <c r="M472" s="293"/>
      <c r="N472" s="293"/>
      <c r="O472" s="293"/>
      <c r="P472" s="293"/>
      <c r="Q472" s="293"/>
      <c r="R472" s="293"/>
      <c r="S472" s="293"/>
      <c r="T472" s="293"/>
      <c r="U472" s="293"/>
      <c r="V472" s="293"/>
      <c r="W472" s="293"/>
      <c r="X472" s="293"/>
      <c r="Y472" s="293"/>
      <c r="Z472" s="293"/>
      <c r="AA472" s="293"/>
      <c r="AB472" s="293"/>
      <c r="AC472" s="293"/>
      <c r="AD472" s="293"/>
    </row>
    <row r="473" spans="1:30" ht="14.25" customHeight="1" x14ac:dyDescent="0.3">
      <c r="A473" s="293"/>
      <c r="B473" s="293"/>
      <c r="C473" s="293"/>
      <c r="D473" s="293"/>
      <c r="E473" s="293"/>
      <c r="F473" s="293"/>
      <c r="G473" s="293"/>
      <c r="H473" s="293"/>
      <c r="I473" s="293"/>
      <c r="J473" s="293"/>
      <c r="K473" s="293"/>
      <c r="L473" s="293"/>
      <c r="M473" s="293"/>
      <c r="N473" s="293"/>
      <c r="O473" s="293"/>
      <c r="P473" s="293"/>
      <c r="Q473" s="293"/>
      <c r="R473" s="293"/>
      <c r="S473" s="293"/>
      <c r="T473" s="293"/>
      <c r="U473" s="293"/>
      <c r="V473" s="293"/>
      <c r="W473" s="293"/>
      <c r="X473" s="293"/>
      <c r="Y473" s="293"/>
      <c r="Z473" s="293"/>
      <c r="AA473" s="293"/>
      <c r="AB473" s="293"/>
      <c r="AC473" s="293"/>
      <c r="AD473" s="293"/>
    </row>
    <row r="474" spans="1:30" ht="14.25" customHeight="1" x14ac:dyDescent="0.3">
      <c r="A474" s="293"/>
      <c r="B474" s="293"/>
      <c r="C474" s="293"/>
      <c r="D474" s="293"/>
      <c r="E474" s="293"/>
      <c r="F474" s="293"/>
      <c r="G474" s="293"/>
      <c r="H474" s="293"/>
      <c r="I474" s="293"/>
      <c r="J474" s="293"/>
      <c r="K474" s="293"/>
      <c r="L474" s="293"/>
      <c r="M474" s="293"/>
      <c r="N474" s="293"/>
      <c r="O474" s="293"/>
      <c r="P474" s="293"/>
      <c r="Q474" s="293"/>
      <c r="R474" s="293"/>
      <c r="S474" s="293"/>
      <c r="T474" s="293"/>
      <c r="U474" s="293"/>
      <c r="V474" s="293"/>
      <c r="W474" s="293"/>
      <c r="X474" s="293"/>
      <c r="Y474" s="293"/>
      <c r="Z474" s="293"/>
      <c r="AA474" s="293"/>
      <c r="AB474" s="293"/>
      <c r="AC474" s="293"/>
      <c r="AD474" s="293"/>
    </row>
    <row r="475" spans="1:30" ht="14.25" customHeight="1" x14ac:dyDescent="0.3">
      <c r="A475" s="293"/>
      <c r="B475" s="293"/>
      <c r="C475" s="293"/>
      <c r="D475" s="293"/>
      <c r="E475" s="293"/>
      <c r="F475" s="293"/>
      <c r="G475" s="293"/>
      <c r="H475" s="293"/>
      <c r="I475" s="293"/>
      <c r="J475" s="293"/>
      <c r="K475" s="293"/>
      <c r="L475" s="293"/>
      <c r="M475" s="293"/>
      <c r="N475" s="293"/>
      <c r="O475" s="293"/>
      <c r="P475" s="293"/>
      <c r="Q475" s="293"/>
      <c r="R475" s="293"/>
      <c r="S475" s="293"/>
      <c r="T475" s="293"/>
      <c r="U475" s="293"/>
      <c r="V475" s="293"/>
      <c r="W475" s="293"/>
      <c r="X475" s="293"/>
      <c r="Y475" s="293"/>
      <c r="Z475" s="293"/>
      <c r="AA475" s="293"/>
      <c r="AB475" s="293"/>
      <c r="AC475" s="293"/>
      <c r="AD475" s="293"/>
    </row>
    <row r="476" spans="1:30" ht="14.25" customHeight="1" x14ac:dyDescent="0.3">
      <c r="A476" s="293"/>
      <c r="B476" s="293"/>
      <c r="C476" s="293"/>
      <c r="D476" s="293"/>
      <c r="E476" s="293"/>
      <c r="F476" s="293"/>
      <c r="G476" s="293"/>
      <c r="H476" s="293"/>
      <c r="I476" s="293"/>
      <c r="J476" s="293"/>
      <c r="K476" s="293"/>
      <c r="L476" s="293"/>
      <c r="M476" s="293"/>
      <c r="N476" s="293"/>
      <c r="O476" s="293"/>
      <c r="P476" s="293"/>
      <c r="Q476" s="293"/>
      <c r="R476" s="293"/>
      <c r="S476" s="293"/>
      <c r="T476" s="293"/>
      <c r="U476" s="293"/>
      <c r="V476" s="293"/>
      <c r="W476" s="293"/>
      <c r="X476" s="293"/>
      <c r="Y476" s="293"/>
      <c r="Z476" s="293"/>
      <c r="AA476" s="293"/>
      <c r="AB476" s="293"/>
      <c r="AC476" s="293"/>
      <c r="AD476" s="293"/>
    </row>
    <row r="477" spans="1:30" ht="14.25" customHeight="1" x14ac:dyDescent="0.3">
      <c r="A477" s="293"/>
      <c r="B477" s="293"/>
      <c r="C477" s="293"/>
      <c r="D477" s="293"/>
      <c r="E477" s="293"/>
      <c r="F477" s="293"/>
      <c r="G477" s="293"/>
      <c r="H477" s="293"/>
      <c r="I477" s="293"/>
      <c r="J477" s="293"/>
      <c r="K477" s="293"/>
      <c r="L477" s="293"/>
      <c r="M477" s="293"/>
      <c r="N477" s="293"/>
      <c r="O477" s="293"/>
      <c r="P477" s="293"/>
      <c r="Q477" s="293"/>
      <c r="R477" s="293"/>
      <c r="S477" s="293"/>
      <c r="T477" s="293"/>
      <c r="U477" s="293"/>
      <c r="V477" s="293"/>
      <c r="W477" s="293"/>
      <c r="X477" s="293"/>
      <c r="Y477" s="293"/>
      <c r="Z477" s="293"/>
      <c r="AA477" s="293"/>
      <c r="AB477" s="293"/>
      <c r="AC477" s="293"/>
      <c r="AD477" s="293"/>
    </row>
    <row r="478" spans="1:30" ht="14.25" customHeight="1" x14ac:dyDescent="0.3">
      <c r="A478" s="293"/>
      <c r="B478" s="293"/>
      <c r="C478" s="293"/>
      <c r="D478" s="293"/>
      <c r="E478" s="293"/>
      <c r="F478" s="293"/>
      <c r="G478" s="293"/>
      <c r="H478" s="293"/>
      <c r="I478" s="293"/>
      <c r="J478" s="293"/>
      <c r="K478" s="293"/>
      <c r="L478" s="293"/>
      <c r="M478" s="293"/>
      <c r="N478" s="293"/>
      <c r="O478" s="293"/>
      <c r="P478" s="293"/>
      <c r="Q478" s="293"/>
      <c r="R478" s="293"/>
      <c r="S478" s="293"/>
      <c r="T478" s="293"/>
      <c r="U478" s="293"/>
      <c r="V478" s="293"/>
      <c r="W478" s="293"/>
      <c r="X478" s="293"/>
      <c r="Y478" s="293"/>
      <c r="Z478" s="293"/>
      <c r="AA478" s="293"/>
      <c r="AB478" s="293"/>
      <c r="AC478" s="293"/>
      <c r="AD478" s="293"/>
    </row>
    <row r="479" spans="1:30" ht="14.25" customHeight="1" x14ac:dyDescent="0.3">
      <c r="A479" s="293"/>
      <c r="B479" s="293"/>
      <c r="C479" s="293"/>
      <c r="D479" s="293"/>
      <c r="E479" s="293"/>
      <c r="F479" s="293"/>
      <c r="G479" s="293"/>
      <c r="H479" s="293"/>
      <c r="I479" s="293"/>
      <c r="J479" s="293"/>
      <c r="K479" s="293"/>
      <c r="L479" s="293"/>
      <c r="M479" s="293"/>
      <c r="N479" s="293"/>
      <c r="O479" s="293"/>
      <c r="P479" s="293"/>
      <c r="Q479" s="293"/>
      <c r="R479" s="293"/>
      <c r="S479" s="293"/>
      <c r="T479" s="293"/>
      <c r="U479" s="293"/>
      <c r="V479" s="293"/>
      <c r="W479" s="293"/>
      <c r="X479" s="293"/>
      <c r="Y479" s="293"/>
      <c r="Z479" s="293"/>
      <c r="AA479" s="293"/>
      <c r="AB479" s="293"/>
      <c r="AC479" s="293"/>
      <c r="AD479" s="293"/>
    </row>
    <row r="480" spans="1:30" ht="14.25" customHeight="1" x14ac:dyDescent="0.3">
      <c r="A480" s="293"/>
      <c r="B480" s="293"/>
      <c r="C480" s="293"/>
      <c r="D480" s="293"/>
      <c r="E480" s="293"/>
      <c r="F480" s="293"/>
      <c r="G480" s="293"/>
      <c r="H480" s="293"/>
      <c r="I480" s="293"/>
      <c r="J480" s="293"/>
      <c r="K480" s="29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  <c r="AA480" s="293"/>
      <c r="AB480" s="293"/>
      <c r="AC480" s="293"/>
      <c r="AD480" s="293"/>
    </row>
    <row r="481" spans="1:30" ht="14.25" customHeight="1" x14ac:dyDescent="0.3">
      <c r="A481" s="293"/>
      <c r="B481" s="293"/>
      <c r="C481" s="293"/>
      <c r="D481" s="293"/>
      <c r="E481" s="293"/>
      <c r="F481" s="293"/>
      <c r="G481" s="293"/>
      <c r="H481" s="293"/>
      <c r="I481" s="293"/>
      <c r="J481" s="293"/>
      <c r="K481" s="293"/>
      <c r="L481" s="293"/>
      <c r="M481" s="293"/>
      <c r="N481" s="293"/>
      <c r="O481" s="293"/>
      <c r="P481" s="293"/>
      <c r="Q481" s="293"/>
      <c r="R481" s="293"/>
      <c r="S481" s="293"/>
      <c r="T481" s="293"/>
      <c r="U481" s="293"/>
      <c r="V481" s="293"/>
      <c r="W481" s="293"/>
      <c r="X481" s="293"/>
      <c r="Y481" s="293"/>
      <c r="Z481" s="293"/>
      <c r="AA481" s="293"/>
      <c r="AB481" s="293"/>
      <c r="AC481" s="293"/>
      <c r="AD481" s="293"/>
    </row>
    <row r="482" spans="1:30" ht="14.25" customHeight="1" x14ac:dyDescent="0.3">
      <c r="A482" s="293"/>
      <c r="B482" s="293"/>
      <c r="C482" s="293"/>
      <c r="D482" s="293"/>
      <c r="E482" s="293"/>
      <c r="F482" s="293"/>
      <c r="G482" s="293"/>
      <c r="H482" s="293"/>
      <c r="I482" s="293"/>
      <c r="J482" s="293"/>
      <c r="K482" s="293"/>
      <c r="L482" s="293"/>
      <c r="M482" s="293"/>
      <c r="N482" s="293"/>
      <c r="O482" s="293"/>
      <c r="P482" s="293"/>
      <c r="Q482" s="293"/>
      <c r="R482" s="293"/>
      <c r="S482" s="293"/>
      <c r="T482" s="293"/>
      <c r="U482" s="293"/>
      <c r="V482" s="293"/>
      <c r="W482" s="293"/>
      <c r="X482" s="293"/>
      <c r="Y482" s="293"/>
      <c r="Z482" s="293"/>
      <c r="AA482" s="293"/>
      <c r="AB482" s="293"/>
      <c r="AC482" s="293"/>
      <c r="AD482" s="293"/>
    </row>
    <row r="483" spans="1:30" ht="14.25" customHeight="1" x14ac:dyDescent="0.3">
      <c r="A483" s="293"/>
      <c r="B483" s="293"/>
      <c r="C483" s="293"/>
      <c r="D483" s="293"/>
      <c r="E483" s="293"/>
      <c r="F483" s="293"/>
      <c r="G483" s="293"/>
      <c r="H483" s="293"/>
      <c r="I483" s="293"/>
      <c r="J483" s="293"/>
      <c r="K483" s="293"/>
      <c r="L483" s="293"/>
      <c r="M483" s="293"/>
      <c r="N483" s="293"/>
      <c r="O483" s="293"/>
      <c r="P483" s="293"/>
      <c r="Q483" s="293"/>
      <c r="R483" s="293"/>
      <c r="S483" s="293"/>
      <c r="T483" s="293"/>
      <c r="U483" s="293"/>
      <c r="V483" s="293"/>
      <c r="W483" s="293"/>
      <c r="X483" s="293"/>
      <c r="Y483" s="293"/>
      <c r="Z483" s="293"/>
      <c r="AA483" s="293"/>
      <c r="AB483" s="293"/>
      <c r="AC483" s="293"/>
      <c r="AD483" s="293"/>
    </row>
    <row r="484" spans="1:30" ht="14.25" customHeight="1" x14ac:dyDescent="0.3">
      <c r="A484" s="293"/>
      <c r="B484" s="293"/>
      <c r="C484" s="293"/>
      <c r="D484" s="293"/>
      <c r="E484" s="293"/>
      <c r="F484" s="293"/>
      <c r="G484" s="293"/>
      <c r="H484" s="293"/>
      <c r="I484" s="293"/>
      <c r="J484" s="293"/>
      <c r="K484" s="293"/>
      <c r="L484" s="293"/>
      <c r="M484" s="293"/>
      <c r="N484" s="293"/>
      <c r="O484" s="293"/>
      <c r="P484" s="293"/>
      <c r="Q484" s="293"/>
      <c r="R484" s="293"/>
      <c r="S484" s="293"/>
      <c r="T484" s="293"/>
      <c r="U484" s="293"/>
      <c r="V484" s="293"/>
      <c r="W484" s="293"/>
      <c r="X484" s="293"/>
      <c r="Y484" s="293"/>
      <c r="Z484" s="293"/>
      <c r="AA484" s="293"/>
      <c r="AB484" s="293"/>
      <c r="AC484" s="293"/>
      <c r="AD484" s="293"/>
    </row>
    <row r="485" spans="1:30" ht="14.25" customHeight="1" x14ac:dyDescent="0.3">
      <c r="A485" s="293"/>
      <c r="B485" s="293"/>
      <c r="C485" s="293"/>
      <c r="D485" s="293"/>
      <c r="E485" s="293"/>
      <c r="F485" s="293"/>
      <c r="G485" s="293"/>
      <c r="H485" s="293"/>
      <c r="I485" s="293"/>
      <c r="J485" s="293"/>
      <c r="K485" s="293"/>
      <c r="L485" s="293"/>
      <c r="M485" s="293"/>
      <c r="N485" s="293"/>
      <c r="O485" s="293"/>
      <c r="P485" s="293"/>
      <c r="Q485" s="293"/>
      <c r="R485" s="293"/>
      <c r="S485" s="293"/>
      <c r="T485" s="293"/>
      <c r="U485" s="293"/>
      <c r="V485" s="293"/>
      <c r="W485" s="293"/>
      <c r="X485" s="293"/>
      <c r="Y485" s="293"/>
      <c r="Z485" s="293"/>
      <c r="AA485" s="293"/>
      <c r="AB485" s="293"/>
      <c r="AC485" s="293"/>
      <c r="AD485" s="293"/>
    </row>
    <row r="486" spans="1:30" ht="14.25" customHeight="1" x14ac:dyDescent="0.3">
      <c r="A486" s="293"/>
      <c r="B486" s="293"/>
      <c r="C486" s="293"/>
      <c r="D486" s="293"/>
      <c r="E486" s="293"/>
      <c r="F486" s="293"/>
      <c r="G486" s="293"/>
      <c r="H486" s="293"/>
      <c r="I486" s="293"/>
      <c r="J486" s="293"/>
      <c r="K486" s="293"/>
      <c r="L486" s="293"/>
      <c r="M486" s="293"/>
      <c r="N486" s="293"/>
      <c r="O486" s="293"/>
      <c r="P486" s="293"/>
      <c r="Q486" s="293"/>
      <c r="R486" s="293"/>
      <c r="S486" s="293"/>
      <c r="T486" s="293"/>
      <c r="U486" s="293"/>
      <c r="V486" s="293"/>
      <c r="W486" s="293"/>
      <c r="X486" s="293"/>
      <c r="Y486" s="293"/>
      <c r="Z486" s="293"/>
      <c r="AA486" s="293"/>
      <c r="AB486" s="293"/>
      <c r="AC486" s="293"/>
      <c r="AD486" s="293"/>
    </row>
    <row r="487" spans="1:30" ht="14.25" customHeight="1" x14ac:dyDescent="0.3">
      <c r="A487" s="293"/>
      <c r="B487" s="293"/>
      <c r="C487" s="293"/>
      <c r="D487" s="293"/>
      <c r="E487" s="293"/>
      <c r="F487" s="293"/>
      <c r="G487" s="293"/>
      <c r="H487" s="293"/>
      <c r="I487" s="293"/>
      <c r="J487" s="293"/>
      <c r="K487" s="293"/>
      <c r="L487" s="293"/>
      <c r="M487" s="293"/>
      <c r="N487" s="293"/>
      <c r="O487" s="293"/>
      <c r="P487" s="293"/>
      <c r="Q487" s="293"/>
      <c r="R487" s="293"/>
      <c r="S487" s="293"/>
      <c r="T487" s="293"/>
      <c r="U487" s="293"/>
      <c r="V487" s="293"/>
      <c r="W487" s="293"/>
      <c r="X487" s="293"/>
      <c r="Y487" s="293"/>
      <c r="Z487" s="293"/>
      <c r="AA487" s="293"/>
      <c r="AB487" s="293"/>
      <c r="AC487" s="293"/>
      <c r="AD487" s="293"/>
    </row>
    <row r="488" spans="1:30" ht="14.25" customHeight="1" x14ac:dyDescent="0.3">
      <c r="A488" s="293"/>
      <c r="B488" s="293"/>
      <c r="C488" s="293"/>
      <c r="D488" s="293"/>
      <c r="E488" s="293"/>
      <c r="F488" s="293"/>
      <c r="G488" s="293"/>
      <c r="H488" s="293"/>
      <c r="I488" s="293"/>
      <c r="J488" s="293"/>
      <c r="K488" s="293"/>
      <c r="L488" s="293"/>
      <c r="M488" s="293"/>
      <c r="N488" s="293"/>
      <c r="O488" s="293"/>
      <c r="P488" s="293"/>
      <c r="Q488" s="293"/>
      <c r="R488" s="293"/>
      <c r="S488" s="293"/>
      <c r="T488" s="293"/>
      <c r="U488" s="293"/>
      <c r="V488" s="293"/>
      <c r="W488" s="293"/>
      <c r="X488" s="293"/>
      <c r="Y488" s="293"/>
      <c r="Z488" s="293"/>
      <c r="AA488" s="293"/>
      <c r="AB488" s="293"/>
      <c r="AC488" s="293"/>
      <c r="AD488" s="293"/>
    </row>
    <row r="489" spans="1:30" ht="14.25" customHeight="1" x14ac:dyDescent="0.3">
      <c r="A489" s="293"/>
      <c r="B489" s="293"/>
      <c r="C489" s="293"/>
      <c r="D489" s="293"/>
      <c r="E489" s="293"/>
      <c r="F489" s="293"/>
      <c r="G489" s="293"/>
      <c r="H489" s="293"/>
      <c r="I489" s="293"/>
      <c r="J489" s="293"/>
      <c r="K489" s="293"/>
      <c r="L489" s="293"/>
      <c r="M489" s="293"/>
      <c r="N489" s="293"/>
      <c r="O489" s="293"/>
      <c r="P489" s="293"/>
      <c r="Q489" s="293"/>
      <c r="R489" s="293"/>
      <c r="S489" s="293"/>
      <c r="T489" s="293"/>
      <c r="U489" s="293"/>
      <c r="V489" s="293"/>
      <c r="W489" s="293"/>
      <c r="X489" s="293"/>
      <c r="Y489" s="293"/>
      <c r="Z489" s="293"/>
      <c r="AA489" s="293"/>
      <c r="AB489" s="293"/>
      <c r="AC489" s="293"/>
      <c r="AD489" s="293"/>
    </row>
    <row r="490" spans="1:30" ht="14.25" customHeight="1" x14ac:dyDescent="0.3">
      <c r="A490" s="293"/>
      <c r="B490" s="293"/>
      <c r="C490" s="293"/>
      <c r="D490" s="293"/>
      <c r="E490" s="293"/>
      <c r="F490" s="293"/>
      <c r="G490" s="293"/>
      <c r="H490" s="293"/>
      <c r="I490" s="293"/>
      <c r="J490" s="293"/>
      <c r="K490" s="293"/>
      <c r="L490" s="293"/>
      <c r="M490" s="293"/>
      <c r="N490" s="293"/>
      <c r="O490" s="293"/>
      <c r="P490" s="293"/>
      <c r="Q490" s="293"/>
      <c r="R490" s="293"/>
      <c r="S490" s="293"/>
      <c r="T490" s="293"/>
      <c r="U490" s="293"/>
      <c r="V490" s="293"/>
      <c r="W490" s="293"/>
      <c r="X490" s="293"/>
      <c r="Y490" s="293"/>
      <c r="Z490" s="293"/>
      <c r="AA490" s="293"/>
      <c r="AB490" s="293"/>
      <c r="AC490" s="293"/>
      <c r="AD490" s="293"/>
    </row>
    <row r="491" spans="1:30" ht="14.25" customHeight="1" x14ac:dyDescent="0.3">
      <c r="A491" s="293"/>
      <c r="B491" s="293"/>
      <c r="C491" s="293"/>
      <c r="D491" s="293"/>
      <c r="E491" s="293"/>
      <c r="F491" s="293"/>
      <c r="G491" s="293"/>
      <c r="H491" s="293"/>
      <c r="I491" s="293"/>
      <c r="J491" s="293"/>
      <c r="K491" s="293"/>
      <c r="L491" s="293"/>
      <c r="M491" s="293"/>
      <c r="N491" s="293"/>
      <c r="O491" s="293"/>
      <c r="P491" s="293"/>
      <c r="Q491" s="293"/>
      <c r="R491" s="293"/>
      <c r="S491" s="293"/>
      <c r="T491" s="293"/>
      <c r="U491" s="293"/>
      <c r="V491" s="293"/>
      <c r="W491" s="293"/>
      <c r="X491" s="293"/>
      <c r="Y491" s="293"/>
      <c r="Z491" s="293"/>
      <c r="AA491" s="293"/>
      <c r="AB491" s="293"/>
      <c r="AC491" s="293"/>
      <c r="AD491" s="293"/>
    </row>
    <row r="492" spans="1:30" ht="14.25" customHeight="1" x14ac:dyDescent="0.3">
      <c r="A492" s="293"/>
      <c r="B492" s="293"/>
      <c r="C492" s="293"/>
      <c r="D492" s="293"/>
      <c r="E492" s="293"/>
      <c r="F492" s="293"/>
      <c r="G492" s="293"/>
      <c r="H492" s="293"/>
      <c r="I492" s="293"/>
      <c r="J492" s="293"/>
      <c r="K492" s="293"/>
      <c r="L492" s="293"/>
      <c r="M492" s="293"/>
      <c r="N492" s="293"/>
      <c r="O492" s="293"/>
      <c r="P492" s="293"/>
      <c r="Q492" s="293"/>
      <c r="R492" s="293"/>
      <c r="S492" s="293"/>
      <c r="T492" s="293"/>
      <c r="U492" s="293"/>
      <c r="V492" s="293"/>
      <c r="W492" s="293"/>
      <c r="X492" s="293"/>
      <c r="Y492" s="293"/>
      <c r="Z492" s="293"/>
      <c r="AA492" s="293"/>
      <c r="AB492" s="293"/>
      <c r="AC492" s="293"/>
      <c r="AD492" s="293"/>
    </row>
    <row r="493" spans="1:30" ht="14.25" customHeight="1" x14ac:dyDescent="0.3">
      <c r="A493" s="293"/>
      <c r="B493" s="293"/>
      <c r="C493" s="293"/>
      <c r="D493" s="293"/>
      <c r="E493" s="293"/>
      <c r="F493" s="293"/>
      <c r="G493" s="293"/>
      <c r="H493" s="293"/>
      <c r="I493" s="293"/>
      <c r="J493" s="293"/>
      <c r="K493" s="293"/>
      <c r="L493" s="293"/>
      <c r="M493" s="293"/>
      <c r="N493" s="293"/>
      <c r="O493" s="293"/>
      <c r="P493" s="293"/>
      <c r="Q493" s="293"/>
      <c r="R493" s="293"/>
      <c r="S493" s="293"/>
      <c r="T493" s="293"/>
      <c r="U493" s="293"/>
      <c r="V493" s="293"/>
      <c r="W493" s="293"/>
      <c r="X493" s="293"/>
      <c r="Y493" s="293"/>
      <c r="Z493" s="293"/>
      <c r="AA493" s="293"/>
      <c r="AB493" s="293"/>
      <c r="AC493" s="293"/>
      <c r="AD493" s="293"/>
    </row>
    <row r="494" spans="1:30" ht="14.25" customHeight="1" x14ac:dyDescent="0.3">
      <c r="A494" s="293"/>
      <c r="B494" s="293"/>
      <c r="C494" s="293"/>
      <c r="D494" s="293"/>
      <c r="E494" s="293"/>
      <c r="F494" s="293"/>
      <c r="G494" s="293"/>
      <c r="H494" s="293"/>
      <c r="I494" s="293"/>
      <c r="J494" s="293"/>
      <c r="K494" s="293"/>
      <c r="L494" s="293"/>
      <c r="M494" s="293"/>
      <c r="N494" s="293"/>
      <c r="O494" s="293"/>
      <c r="P494" s="293"/>
      <c r="Q494" s="293"/>
      <c r="R494" s="293"/>
      <c r="S494" s="293"/>
      <c r="T494" s="293"/>
      <c r="U494" s="293"/>
      <c r="V494" s="293"/>
      <c r="W494" s="293"/>
      <c r="X494" s="293"/>
      <c r="Y494" s="293"/>
      <c r="Z494" s="293"/>
      <c r="AA494" s="293"/>
      <c r="AB494" s="293"/>
      <c r="AC494" s="293"/>
      <c r="AD494" s="293"/>
    </row>
    <row r="495" spans="1:30" ht="14.25" customHeight="1" x14ac:dyDescent="0.3">
      <c r="A495" s="293"/>
      <c r="B495" s="293"/>
      <c r="C495" s="293"/>
      <c r="D495" s="293"/>
      <c r="E495" s="293"/>
      <c r="F495" s="293"/>
      <c r="G495" s="293"/>
      <c r="H495" s="293"/>
      <c r="I495" s="293"/>
      <c r="J495" s="293"/>
      <c r="K495" s="293"/>
      <c r="L495" s="293"/>
      <c r="M495" s="293"/>
      <c r="N495" s="293"/>
      <c r="O495" s="293"/>
      <c r="P495" s="293"/>
      <c r="Q495" s="293"/>
      <c r="R495" s="293"/>
      <c r="S495" s="293"/>
      <c r="T495" s="293"/>
      <c r="U495" s="293"/>
      <c r="V495" s="293"/>
      <c r="W495" s="293"/>
      <c r="X495" s="293"/>
      <c r="Y495" s="293"/>
      <c r="Z495" s="293"/>
      <c r="AA495" s="293"/>
      <c r="AB495" s="293"/>
      <c r="AC495" s="293"/>
      <c r="AD495" s="293"/>
    </row>
    <row r="496" spans="1:30" ht="14.25" customHeight="1" x14ac:dyDescent="0.3">
      <c r="A496" s="293"/>
      <c r="B496" s="293"/>
      <c r="C496" s="293"/>
      <c r="D496" s="293"/>
      <c r="E496" s="293"/>
      <c r="F496" s="293"/>
      <c r="G496" s="293"/>
      <c r="H496" s="293"/>
      <c r="I496" s="293"/>
      <c r="J496" s="293"/>
      <c r="K496" s="293"/>
      <c r="L496" s="293"/>
      <c r="M496" s="293"/>
      <c r="N496" s="293"/>
      <c r="O496" s="293"/>
      <c r="P496" s="293"/>
      <c r="Q496" s="293"/>
      <c r="R496" s="293"/>
      <c r="S496" s="293"/>
      <c r="T496" s="293"/>
      <c r="U496" s="293"/>
      <c r="V496" s="293"/>
      <c r="W496" s="293"/>
      <c r="X496" s="293"/>
      <c r="Y496" s="293"/>
      <c r="Z496" s="293"/>
      <c r="AA496" s="293"/>
      <c r="AB496" s="293"/>
      <c r="AC496" s="293"/>
      <c r="AD496" s="293"/>
    </row>
    <row r="497" spans="1:30" ht="14.25" customHeight="1" x14ac:dyDescent="0.3">
      <c r="A497" s="293"/>
      <c r="B497" s="293"/>
      <c r="C497" s="293"/>
      <c r="D497" s="293"/>
      <c r="E497" s="293"/>
      <c r="F497" s="293"/>
      <c r="G497" s="293"/>
      <c r="H497" s="293"/>
      <c r="I497" s="293"/>
      <c r="J497" s="293"/>
      <c r="K497" s="293"/>
      <c r="L497" s="293"/>
      <c r="M497" s="293"/>
      <c r="N497" s="293"/>
      <c r="O497" s="293"/>
      <c r="P497" s="293"/>
      <c r="Q497" s="293"/>
      <c r="R497" s="293"/>
      <c r="S497" s="293"/>
      <c r="T497" s="293"/>
      <c r="U497" s="293"/>
      <c r="V497" s="293"/>
      <c r="W497" s="293"/>
      <c r="X497" s="293"/>
      <c r="Y497" s="293"/>
      <c r="Z497" s="293"/>
      <c r="AA497" s="293"/>
      <c r="AB497" s="293"/>
      <c r="AC497" s="293"/>
      <c r="AD497" s="293"/>
    </row>
    <row r="498" spans="1:30" ht="14.25" customHeight="1" x14ac:dyDescent="0.3">
      <c r="A498" s="293"/>
      <c r="B498" s="293"/>
      <c r="C498" s="293"/>
      <c r="D498" s="293"/>
      <c r="E498" s="293"/>
      <c r="F498" s="293"/>
      <c r="G498" s="293"/>
      <c r="H498" s="293"/>
      <c r="I498" s="293"/>
      <c r="J498" s="293"/>
      <c r="K498" s="293"/>
      <c r="L498" s="293"/>
      <c r="M498" s="293"/>
      <c r="N498" s="293"/>
      <c r="O498" s="293"/>
      <c r="P498" s="293"/>
      <c r="Q498" s="293"/>
      <c r="R498" s="293"/>
      <c r="S498" s="293"/>
      <c r="T498" s="293"/>
      <c r="U498" s="293"/>
      <c r="V498" s="293"/>
      <c r="W498" s="293"/>
      <c r="X498" s="293"/>
      <c r="Y498" s="293"/>
      <c r="Z498" s="293"/>
      <c r="AA498" s="293"/>
      <c r="AB498" s="293"/>
      <c r="AC498" s="293"/>
      <c r="AD498" s="293"/>
    </row>
    <row r="499" spans="1:30" ht="14.25" customHeight="1" x14ac:dyDescent="0.3">
      <c r="A499" s="293"/>
      <c r="B499" s="293"/>
      <c r="C499" s="293"/>
      <c r="D499" s="293"/>
      <c r="E499" s="293"/>
      <c r="F499" s="293"/>
      <c r="G499" s="293"/>
      <c r="H499" s="293"/>
      <c r="I499" s="293"/>
      <c r="J499" s="293"/>
      <c r="K499" s="293"/>
      <c r="L499" s="293"/>
      <c r="M499" s="293"/>
      <c r="N499" s="293"/>
      <c r="O499" s="293"/>
      <c r="P499" s="293"/>
      <c r="Q499" s="293"/>
      <c r="R499" s="293"/>
      <c r="S499" s="293"/>
      <c r="T499" s="293"/>
      <c r="U499" s="293"/>
      <c r="V499" s="293"/>
      <c r="W499" s="293"/>
      <c r="X499" s="293"/>
      <c r="Y499" s="293"/>
      <c r="Z499" s="293"/>
      <c r="AA499" s="293"/>
      <c r="AB499" s="293"/>
      <c r="AC499" s="293"/>
      <c r="AD499" s="293"/>
    </row>
    <row r="500" spans="1:30" ht="14.25" customHeight="1" x14ac:dyDescent="0.3">
      <c r="A500" s="293"/>
      <c r="B500" s="293"/>
      <c r="C500" s="293"/>
      <c r="D500" s="293"/>
      <c r="E500" s="293"/>
      <c r="F500" s="293"/>
      <c r="G500" s="293"/>
      <c r="H500" s="293"/>
      <c r="I500" s="293"/>
      <c r="J500" s="293"/>
      <c r="K500" s="293"/>
      <c r="L500" s="293"/>
      <c r="M500" s="293"/>
      <c r="N500" s="293"/>
      <c r="O500" s="293"/>
      <c r="P500" s="293"/>
      <c r="Q500" s="293"/>
      <c r="R500" s="293"/>
      <c r="S500" s="293"/>
      <c r="T500" s="293"/>
      <c r="U500" s="293"/>
      <c r="V500" s="293"/>
      <c r="W500" s="293"/>
      <c r="X500" s="293"/>
      <c r="Y500" s="293"/>
      <c r="Z500" s="293"/>
      <c r="AA500" s="293"/>
      <c r="AB500" s="293"/>
      <c r="AC500" s="293"/>
      <c r="AD500" s="293"/>
    </row>
    <row r="501" spans="1:30" ht="14.25" customHeight="1" x14ac:dyDescent="0.3">
      <c r="A501" s="293"/>
      <c r="B501" s="293"/>
      <c r="C501" s="293"/>
      <c r="D501" s="293"/>
      <c r="E501" s="293"/>
      <c r="F501" s="293"/>
      <c r="G501" s="293"/>
      <c r="H501" s="293"/>
      <c r="I501" s="293"/>
      <c r="J501" s="293"/>
      <c r="K501" s="293"/>
      <c r="L501" s="293"/>
      <c r="M501" s="293"/>
      <c r="N501" s="293"/>
      <c r="O501" s="293"/>
      <c r="P501" s="293"/>
      <c r="Q501" s="293"/>
      <c r="R501" s="293"/>
      <c r="S501" s="293"/>
      <c r="T501" s="293"/>
      <c r="U501" s="293"/>
      <c r="V501" s="293"/>
      <c r="W501" s="293"/>
      <c r="X501" s="293"/>
      <c r="Y501" s="293"/>
      <c r="Z501" s="293"/>
      <c r="AA501" s="293"/>
      <c r="AB501" s="293"/>
      <c r="AC501" s="293"/>
      <c r="AD501" s="293"/>
    </row>
    <row r="502" spans="1:30" ht="14.25" customHeight="1" x14ac:dyDescent="0.3">
      <c r="A502" s="293"/>
      <c r="B502" s="293"/>
      <c r="C502" s="293"/>
      <c r="D502" s="293"/>
      <c r="E502" s="293"/>
      <c r="F502" s="293"/>
      <c r="G502" s="293"/>
      <c r="H502" s="293"/>
      <c r="I502" s="293"/>
      <c r="J502" s="293"/>
      <c r="K502" s="293"/>
      <c r="L502" s="293"/>
      <c r="M502" s="293"/>
      <c r="N502" s="293"/>
      <c r="O502" s="293"/>
      <c r="P502" s="293"/>
      <c r="Q502" s="293"/>
      <c r="R502" s="293"/>
      <c r="S502" s="293"/>
      <c r="T502" s="293"/>
      <c r="U502" s="293"/>
      <c r="V502" s="293"/>
      <c r="W502" s="293"/>
      <c r="X502" s="293"/>
      <c r="Y502" s="293"/>
      <c r="Z502" s="293"/>
      <c r="AA502" s="293"/>
      <c r="AB502" s="293"/>
      <c r="AC502" s="293"/>
      <c r="AD502" s="293"/>
    </row>
    <row r="503" spans="1:30" ht="14.25" customHeight="1" x14ac:dyDescent="0.3">
      <c r="A503" s="293"/>
      <c r="B503" s="293"/>
      <c r="C503" s="293"/>
      <c r="D503" s="293"/>
      <c r="E503" s="293"/>
      <c r="F503" s="293"/>
      <c r="G503" s="293"/>
      <c r="H503" s="293"/>
      <c r="I503" s="293"/>
      <c r="J503" s="293"/>
      <c r="K503" s="293"/>
      <c r="L503" s="293"/>
      <c r="M503" s="293"/>
      <c r="N503" s="293"/>
      <c r="O503" s="293"/>
      <c r="P503" s="293"/>
      <c r="Q503" s="293"/>
      <c r="R503" s="293"/>
      <c r="S503" s="293"/>
      <c r="T503" s="293"/>
      <c r="U503" s="293"/>
      <c r="V503" s="293"/>
      <c r="W503" s="293"/>
      <c r="X503" s="293"/>
      <c r="Y503" s="293"/>
      <c r="Z503" s="293"/>
      <c r="AA503" s="293"/>
      <c r="AB503" s="293"/>
      <c r="AC503" s="293"/>
      <c r="AD503" s="293"/>
    </row>
    <row r="504" spans="1:30" ht="14.25" customHeight="1" x14ac:dyDescent="0.3">
      <c r="A504" s="293"/>
      <c r="B504" s="293"/>
      <c r="C504" s="293"/>
      <c r="D504" s="293"/>
      <c r="E504" s="293"/>
      <c r="F504" s="293"/>
      <c r="G504" s="293"/>
      <c r="H504" s="293"/>
      <c r="I504" s="293"/>
      <c r="J504" s="293"/>
      <c r="K504" s="293"/>
      <c r="L504" s="293"/>
      <c r="M504" s="293"/>
      <c r="N504" s="293"/>
      <c r="O504" s="293"/>
      <c r="P504" s="293"/>
      <c r="Q504" s="293"/>
      <c r="R504" s="293"/>
      <c r="S504" s="293"/>
      <c r="T504" s="293"/>
      <c r="U504" s="293"/>
      <c r="V504" s="293"/>
      <c r="W504" s="293"/>
      <c r="X504" s="293"/>
      <c r="Y504" s="293"/>
      <c r="Z504" s="293"/>
      <c r="AA504" s="293"/>
      <c r="AB504" s="293"/>
      <c r="AC504" s="293"/>
      <c r="AD504" s="293"/>
    </row>
    <row r="505" spans="1:30" ht="14.25" customHeight="1" x14ac:dyDescent="0.3">
      <c r="A505" s="293"/>
      <c r="B505" s="293"/>
      <c r="C505" s="293"/>
      <c r="D505" s="293"/>
      <c r="E505" s="293"/>
      <c r="F505" s="293"/>
      <c r="G505" s="293"/>
      <c r="H505" s="293"/>
      <c r="I505" s="293"/>
      <c r="J505" s="293"/>
      <c r="K505" s="293"/>
      <c r="L505" s="293"/>
      <c r="M505" s="293"/>
      <c r="N505" s="293"/>
      <c r="O505" s="293"/>
      <c r="P505" s="293"/>
      <c r="Q505" s="293"/>
      <c r="R505" s="293"/>
      <c r="S505" s="293"/>
      <c r="T505" s="293"/>
      <c r="U505" s="293"/>
      <c r="V505" s="293"/>
      <c r="W505" s="293"/>
      <c r="X505" s="293"/>
      <c r="Y505" s="293"/>
      <c r="Z505" s="293"/>
      <c r="AA505" s="293"/>
      <c r="AB505" s="293"/>
      <c r="AC505" s="293"/>
      <c r="AD505" s="293"/>
    </row>
    <row r="506" spans="1:30" ht="14.25" customHeight="1" x14ac:dyDescent="0.3">
      <c r="A506" s="293"/>
      <c r="B506" s="293"/>
      <c r="C506" s="293"/>
      <c r="D506" s="293"/>
      <c r="E506" s="293"/>
      <c r="F506" s="293"/>
      <c r="G506" s="293"/>
      <c r="H506" s="293"/>
      <c r="I506" s="293"/>
      <c r="J506" s="293"/>
      <c r="K506" s="293"/>
      <c r="L506" s="293"/>
      <c r="M506" s="293"/>
      <c r="N506" s="293"/>
      <c r="O506" s="293"/>
      <c r="P506" s="293"/>
      <c r="Q506" s="293"/>
      <c r="R506" s="293"/>
      <c r="S506" s="293"/>
      <c r="T506" s="293"/>
      <c r="U506" s="293"/>
      <c r="V506" s="293"/>
      <c r="W506" s="293"/>
      <c r="X506" s="293"/>
      <c r="Y506" s="293"/>
      <c r="Z506" s="293"/>
      <c r="AA506" s="293"/>
      <c r="AB506" s="293"/>
      <c r="AC506" s="293"/>
      <c r="AD506" s="293"/>
    </row>
    <row r="507" spans="1:30" ht="14.25" customHeight="1" x14ac:dyDescent="0.3">
      <c r="A507" s="293"/>
      <c r="B507" s="293"/>
      <c r="C507" s="293"/>
      <c r="D507" s="293"/>
      <c r="E507" s="293"/>
      <c r="F507" s="293"/>
      <c r="G507" s="293"/>
      <c r="H507" s="293"/>
      <c r="I507" s="293"/>
      <c r="J507" s="293"/>
      <c r="K507" s="293"/>
      <c r="L507" s="293"/>
      <c r="M507" s="293"/>
      <c r="N507" s="293"/>
      <c r="O507" s="293"/>
      <c r="P507" s="293"/>
      <c r="Q507" s="293"/>
      <c r="R507" s="293"/>
      <c r="S507" s="293"/>
      <c r="T507" s="293"/>
      <c r="U507" s="293"/>
      <c r="V507" s="293"/>
      <c r="W507" s="293"/>
      <c r="X507" s="293"/>
      <c r="Y507" s="293"/>
      <c r="Z507" s="293"/>
      <c r="AA507" s="293"/>
      <c r="AB507" s="293"/>
      <c r="AC507" s="293"/>
      <c r="AD507" s="293"/>
    </row>
    <row r="508" spans="1:30" ht="14.25" customHeight="1" x14ac:dyDescent="0.3">
      <c r="A508" s="293"/>
      <c r="B508" s="293"/>
      <c r="C508" s="293"/>
      <c r="D508" s="293"/>
      <c r="E508" s="293"/>
      <c r="F508" s="293"/>
      <c r="G508" s="293"/>
      <c r="H508" s="293"/>
      <c r="I508" s="293"/>
      <c r="J508" s="293"/>
      <c r="K508" s="293"/>
      <c r="L508" s="293"/>
      <c r="M508" s="293"/>
      <c r="N508" s="293"/>
      <c r="O508" s="293"/>
      <c r="P508" s="293"/>
      <c r="Q508" s="293"/>
      <c r="R508" s="293"/>
      <c r="S508" s="293"/>
      <c r="T508" s="293"/>
      <c r="U508" s="293"/>
      <c r="V508" s="293"/>
      <c r="W508" s="293"/>
      <c r="X508" s="293"/>
      <c r="Y508" s="293"/>
      <c r="Z508" s="293"/>
      <c r="AA508" s="293"/>
      <c r="AB508" s="293"/>
      <c r="AC508" s="293"/>
      <c r="AD508" s="293"/>
    </row>
    <row r="509" spans="1:30" ht="14.25" customHeight="1" x14ac:dyDescent="0.3">
      <c r="A509" s="293"/>
      <c r="B509" s="293"/>
      <c r="C509" s="293"/>
      <c r="D509" s="293"/>
      <c r="E509" s="293"/>
      <c r="F509" s="293"/>
      <c r="G509" s="293"/>
      <c r="H509" s="293"/>
      <c r="I509" s="293"/>
      <c r="J509" s="293"/>
      <c r="K509" s="293"/>
      <c r="L509" s="293"/>
      <c r="M509" s="293"/>
      <c r="N509" s="293"/>
      <c r="O509" s="293"/>
      <c r="P509" s="293"/>
      <c r="Q509" s="293"/>
      <c r="R509" s="293"/>
      <c r="S509" s="293"/>
      <c r="T509" s="293"/>
      <c r="U509" s="293"/>
      <c r="V509" s="293"/>
      <c r="W509" s="293"/>
      <c r="X509" s="293"/>
      <c r="Y509" s="293"/>
      <c r="Z509" s="293"/>
      <c r="AA509" s="293"/>
      <c r="AB509" s="293"/>
      <c r="AC509" s="293"/>
      <c r="AD509" s="293"/>
    </row>
    <row r="510" spans="1:30" ht="14.25" customHeight="1" x14ac:dyDescent="0.3">
      <c r="A510" s="293"/>
      <c r="B510" s="293"/>
      <c r="C510" s="293"/>
      <c r="D510" s="293"/>
      <c r="E510" s="293"/>
      <c r="F510" s="293"/>
      <c r="G510" s="293"/>
      <c r="H510" s="293"/>
      <c r="I510" s="293"/>
      <c r="J510" s="293"/>
      <c r="K510" s="293"/>
      <c r="L510" s="293"/>
      <c r="M510" s="293"/>
      <c r="N510" s="293"/>
      <c r="O510" s="293"/>
      <c r="P510" s="293"/>
      <c r="Q510" s="293"/>
      <c r="R510" s="293"/>
      <c r="S510" s="293"/>
      <c r="T510" s="293"/>
      <c r="U510" s="293"/>
      <c r="V510" s="293"/>
      <c r="W510" s="293"/>
      <c r="X510" s="293"/>
      <c r="Y510" s="293"/>
      <c r="Z510" s="293"/>
      <c r="AA510" s="293"/>
      <c r="AB510" s="293"/>
      <c r="AC510" s="293"/>
      <c r="AD510" s="293"/>
    </row>
    <row r="511" spans="1:30" ht="14.25" customHeight="1" x14ac:dyDescent="0.3">
      <c r="A511" s="293"/>
      <c r="B511" s="293"/>
      <c r="C511" s="293"/>
      <c r="D511" s="293"/>
      <c r="E511" s="293"/>
      <c r="F511" s="293"/>
      <c r="G511" s="293"/>
      <c r="H511" s="293"/>
      <c r="I511" s="293"/>
      <c r="J511" s="293"/>
      <c r="K511" s="293"/>
      <c r="L511" s="293"/>
      <c r="M511" s="293"/>
      <c r="N511" s="293"/>
      <c r="O511" s="293"/>
      <c r="P511" s="293"/>
      <c r="Q511" s="293"/>
      <c r="R511" s="293"/>
      <c r="S511" s="293"/>
      <c r="T511" s="293"/>
      <c r="U511" s="293"/>
      <c r="V511" s="293"/>
      <c r="W511" s="293"/>
      <c r="X511" s="293"/>
      <c r="Y511" s="293"/>
      <c r="Z511" s="293"/>
      <c r="AA511" s="293"/>
      <c r="AB511" s="293"/>
      <c r="AC511" s="293"/>
      <c r="AD511" s="293"/>
    </row>
    <row r="512" spans="1:30" ht="14.25" customHeight="1" x14ac:dyDescent="0.3">
      <c r="A512" s="293"/>
      <c r="B512" s="293"/>
      <c r="C512" s="293"/>
      <c r="D512" s="293"/>
      <c r="E512" s="293"/>
      <c r="F512" s="293"/>
      <c r="G512" s="293"/>
      <c r="H512" s="293"/>
      <c r="I512" s="293"/>
      <c r="J512" s="293"/>
      <c r="K512" s="293"/>
      <c r="L512" s="293"/>
      <c r="M512" s="293"/>
      <c r="N512" s="293"/>
      <c r="O512" s="293"/>
      <c r="P512" s="293"/>
      <c r="Q512" s="293"/>
      <c r="R512" s="293"/>
      <c r="S512" s="293"/>
      <c r="T512" s="293"/>
      <c r="U512" s="293"/>
      <c r="V512" s="293"/>
      <c r="W512" s="293"/>
      <c r="X512" s="293"/>
      <c r="Y512" s="293"/>
      <c r="Z512" s="293"/>
      <c r="AA512" s="293"/>
      <c r="AB512" s="293"/>
      <c r="AC512" s="293"/>
      <c r="AD512" s="293"/>
    </row>
    <row r="513" spans="1:30" ht="14.25" customHeight="1" x14ac:dyDescent="0.3">
      <c r="A513" s="293"/>
      <c r="B513" s="293"/>
      <c r="C513" s="293"/>
      <c r="D513" s="293"/>
      <c r="E513" s="293"/>
      <c r="F513" s="293"/>
      <c r="G513" s="293"/>
      <c r="H513" s="293"/>
      <c r="I513" s="293"/>
      <c r="J513" s="293"/>
      <c r="K513" s="293"/>
      <c r="L513" s="293"/>
      <c r="M513" s="293"/>
      <c r="N513" s="293"/>
      <c r="O513" s="293"/>
      <c r="P513" s="293"/>
      <c r="Q513" s="293"/>
      <c r="R513" s="293"/>
      <c r="S513" s="293"/>
      <c r="T513" s="293"/>
      <c r="U513" s="293"/>
      <c r="V513" s="293"/>
      <c r="W513" s="293"/>
      <c r="X513" s="293"/>
      <c r="Y513" s="293"/>
      <c r="Z513" s="293"/>
      <c r="AA513" s="293"/>
      <c r="AB513" s="293"/>
      <c r="AC513" s="293"/>
      <c r="AD513" s="293"/>
    </row>
    <row r="514" spans="1:30" ht="14.25" customHeight="1" x14ac:dyDescent="0.3">
      <c r="A514" s="293"/>
      <c r="B514" s="293"/>
      <c r="C514" s="293"/>
      <c r="D514" s="293"/>
      <c r="E514" s="293"/>
      <c r="F514" s="293"/>
      <c r="G514" s="293"/>
      <c r="H514" s="293"/>
      <c r="I514" s="293"/>
      <c r="J514" s="293"/>
      <c r="K514" s="293"/>
      <c r="L514" s="293"/>
      <c r="M514" s="293"/>
      <c r="N514" s="293"/>
      <c r="O514" s="293"/>
      <c r="P514" s="293"/>
      <c r="Q514" s="293"/>
      <c r="R514" s="293"/>
      <c r="S514" s="293"/>
      <c r="T514" s="293"/>
      <c r="U514" s="293"/>
      <c r="V514" s="293"/>
      <c r="W514" s="293"/>
      <c r="X514" s="293"/>
      <c r="Y514" s="293"/>
      <c r="Z514" s="293"/>
      <c r="AA514" s="293"/>
      <c r="AB514" s="293"/>
      <c r="AC514" s="293"/>
      <c r="AD514" s="293"/>
    </row>
    <row r="515" spans="1:30" ht="14.25" customHeight="1" x14ac:dyDescent="0.3">
      <c r="A515" s="293"/>
      <c r="B515" s="293"/>
      <c r="C515" s="293"/>
      <c r="D515" s="293"/>
      <c r="E515" s="293"/>
      <c r="F515" s="293"/>
      <c r="G515" s="293"/>
      <c r="H515" s="293"/>
      <c r="I515" s="293"/>
      <c r="J515" s="293"/>
      <c r="K515" s="293"/>
      <c r="L515" s="293"/>
      <c r="M515" s="293"/>
      <c r="N515" s="293"/>
      <c r="O515" s="293"/>
      <c r="P515" s="293"/>
      <c r="Q515" s="293"/>
      <c r="R515" s="293"/>
      <c r="S515" s="293"/>
      <c r="T515" s="293"/>
      <c r="U515" s="293"/>
      <c r="V515" s="293"/>
      <c r="W515" s="293"/>
      <c r="X515" s="293"/>
      <c r="Y515" s="293"/>
      <c r="Z515" s="293"/>
      <c r="AA515" s="293"/>
      <c r="AB515" s="293"/>
      <c r="AC515" s="293"/>
      <c r="AD515" s="293"/>
    </row>
    <row r="516" spans="1:30" ht="14.25" customHeight="1" x14ac:dyDescent="0.3">
      <c r="A516" s="293"/>
      <c r="B516" s="293"/>
      <c r="C516" s="293"/>
      <c r="D516" s="293"/>
      <c r="E516" s="293"/>
      <c r="F516" s="293"/>
      <c r="G516" s="293"/>
      <c r="H516" s="293"/>
      <c r="I516" s="293"/>
      <c r="J516" s="293"/>
      <c r="K516" s="293"/>
      <c r="L516" s="293"/>
      <c r="M516" s="293"/>
      <c r="N516" s="293"/>
      <c r="O516" s="293"/>
      <c r="P516" s="293"/>
      <c r="Q516" s="293"/>
      <c r="R516" s="293"/>
      <c r="S516" s="293"/>
      <c r="T516" s="293"/>
      <c r="U516" s="293"/>
      <c r="V516" s="293"/>
      <c r="W516" s="293"/>
      <c r="X516" s="293"/>
      <c r="Y516" s="293"/>
      <c r="Z516" s="293"/>
      <c r="AA516" s="293"/>
      <c r="AB516" s="293"/>
      <c r="AC516" s="293"/>
      <c r="AD516" s="293"/>
    </row>
    <row r="517" spans="1:30" ht="14.25" customHeight="1" x14ac:dyDescent="0.3">
      <c r="A517" s="293"/>
      <c r="B517" s="293"/>
      <c r="C517" s="293"/>
      <c r="D517" s="293"/>
      <c r="E517" s="293"/>
      <c r="F517" s="293"/>
      <c r="G517" s="293"/>
      <c r="H517" s="293"/>
      <c r="I517" s="293"/>
      <c r="J517" s="293"/>
      <c r="K517" s="293"/>
      <c r="L517" s="293"/>
      <c r="M517" s="293"/>
      <c r="N517" s="293"/>
      <c r="O517" s="293"/>
      <c r="P517" s="293"/>
      <c r="Q517" s="293"/>
      <c r="R517" s="293"/>
      <c r="S517" s="293"/>
      <c r="T517" s="293"/>
      <c r="U517" s="293"/>
      <c r="V517" s="293"/>
      <c r="W517" s="293"/>
      <c r="X517" s="293"/>
      <c r="Y517" s="293"/>
      <c r="Z517" s="293"/>
      <c r="AA517" s="293"/>
      <c r="AB517" s="293"/>
      <c r="AC517" s="293"/>
      <c r="AD517" s="293"/>
    </row>
    <row r="518" spans="1:30" ht="14.25" customHeight="1" x14ac:dyDescent="0.3">
      <c r="A518" s="293"/>
      <c r="B518" s="293"/>
      <c r="C518" s="293"/>
      <c r="D518" s="293"/>
      <c r="E518" s="293"/>
      <c r="F518" s="293"/>
      <c r="G518" s="293"/>
      <c r="H518" s="293"/>
      <c r="I518" s="293"/>
      <c r="J518" s="293"/>
      <c r="K518" s="293"/>
      <c r="L518" s="293"/>
      <c r="M518" s="293"/>
      <c r="N518" s="293"/>
      <c r="O518" s="293"/>
      <c r="P518" s="293"/>
      <c r="Q518" s="293"/>
      <c r="R518" s="293"/>
      <c r="S518" s="293"/>
      <c r="T518" s="293"/>
      <c r="U518" s="293"/>
      <c r="V518" s="293"/>
      <c r="W518" s="293"/>
      <c r="X518" s="293"/>
      <c r="Y518" s="293"/>
      <c r="Z518" s="293"/>
      <c r="AA518" s="293"/>
      <c r="AB518" s="293"/>
      <c r="AC518" s="293"/>
      <c r="AD518" s="293"/>
    </row>
    <row r="519" spans="1:30" ht="14.25" customHeight="1" x14ac:dyDescent="0.3">
      <c r="A519" s="293"/>
      <c r="B519" s="293"/>
      <c r="C519" s="293"/>
      <c r="D519" s="293"/>
      <c r="E519" s="293"/>
      <c r="F519" s="293"/>
      <c r="G519" s="293"/>
      <c r="H519" s="293"/>
      <c r="I519" s="293"/>
      <c r="J519" s="293"/>
      <c r="K519" s="293"/>
      <c r="L519" s="293"/>
      <c r="M519" s="293"/>
      <c r="N519" s="293"/>
      <c r="O519" s="293"/>
      <c r="P519" s="293"/>
      <c r="Q519" s="293"/>
      <c r="R519" s="293"/>
      <c r="S519" s="293"/>
      <c r="T519" s="293"/>
      <c r="U519" s="293"/>
      <c r="V519" s="293"/>
      <c r="W519" s="293"/>
      <c r="X519" s="293"/>
      <c r="Y519" s="293"/>
      <c r="Z519" s="293"/>
      <c r="AA519" s="293"/>
      <c r="AB519" s="293"/>
      <c r="AC519" s="293"/>
      <c r="AD519" s="293"/>
    </row>
    <row r="520" spans="1:30" ht="14.25" customHeight="1" x14ac:dyDescent="0.3">
      <c r="A520" s="293"/>
      <c r="B520" s="293"/>
      <c r="C520" s="293"/>
      <c r="D520" s="293"/>
      <c r="E520" s="293"/>
      <c r="F520" s="293"/>
      <c r="G520" s="293"/>
      <c r="H520" s="293"/>
      <c r="I520" s="293"/>
      <c r="J520" s="293"/>
      <c r="K520" s="293"/>
      <c r="L520" s="293"/>
      <c r="M520" s="293"/>
      <c r="N520" s="293"/>
      <c r="O520" s="293"/>
      <c r="P520" s="293"/>
      <c r="Q520" s="293"/>
      <c r="R520" s="293"/>
      <c r="S520" s="293"/>
      <c r="T520" s="293"/>
      <c r="U520" s="293"/>
      <c r="V520" s="293"/>
      <c r="W520" s="293"/>
      <c r="X520" s="293"/>
      <c r="Y520" s="293"/>
      <c r="Z520" s="293"/>
      <c r="AA520" s="293"/>
      <c r="AB520" s="293"/>
      <c r="AC520" s="293"/>
      <c r="AD520" s="293"/>
    </row>
    <row r="521" spans="1:30" ht="14.25" customHeight="1" x14ac:dyDescent="0.3">
      <c r="A521" s="293"/>
      <c r="B521" s="293"/>
      <c r="C521" s="293"/>
      <c r="D521" s="293"/>
      <c r="E521" s="293"/>
      <c r="F521" s="293"/>
      <c r="G521" s="293"/>
      <c r="H521" s="293"/>
      <c r="I521" s="293"/>
      <c r="J521" s="293"/>
      <c r="K521" s="293"/>
      <c r="L521" s="293"/>
      <c r="M521" s="293"/>
      <c r="N521" s="293"/>
      <c r="O521" s="293"/>
      <c r="P521" s="293"/>
      <c r="Q521" s="293"/>
      <c r="R521" s="293"/>
      <c r="S521" s="293"/>
      <c r="T521" s="293"/>
      <c r="U521" s="293"/>
      <c r="V521" s="293"/>
      <c r="W521" s="293"/>
      <c r="X521" s="293"/>
      <c r="Y521" s="293"/>
      <c r="Z521" s="293"/>
      <c r="AA521" s="293"/>
      <c r="AB521" s="293"/>
      <c r="AC521" s="293"/>
      <c r="AD521" s="293"/>
    </row>
    <row r="522" spans="1:30" ht="14.25" customHeight="1" x14ac:dyDescent="0.3">
      <c r="A522" s="293"/>
      <c r="B522" s="293"/>
      <c r="C522" s="293"/>
      <c r="D522" s="293"/>
      <c r="E522" s="293"/>
      <c r="F522" s="293"/>
      <c r="G522" s="293"/>
      <c r="H522" s="293"/>
      <c r="I522" s="293"/>
      <c r="J522" s="293"/>
      <c r="K522" s="293"/>
      <c r="L522" s="293"/>
      <c r="M522" s="293"/>
      <c r="N522" s="293"/>
      <c r="O522" s="293"/>
      <c r="P522" s="293"/>
      <c r="Q522" s="293"/>
      <c r="R522" s="293"/>
      <c r="S522" s="293"/>
      <c r="T522" s="293"/>
      <c r="U522" s="293"/>
      <c r="V522" s="293"/>
      <c r="W522" s="293"/>
      <c r="X522" s="293"/>
      <c r="Y522" s="293"/>
      <c r="Z522" s="293"/>
      <c r="AA522" s="293"/>
      <c r="AB522" s="293"/>
      <c r="AC522" s="293"/>
      <c r="AD522" s="293"/>
    </row>
    <row r="523" spans="1:30" ht="14.25" customHeight="1" x14ac:dyDescent="0.3">
      <c r="A523" s="293"/>
      <c r="B523" s="293"/>
      <c r="C523" s="293"/>
      <c r="D523" s="293"/>
      <c r="E523" s="293"/>
      <c r="F523" s="293"/>
      <c r="G523" s="293"/>
      <c r="H523" s="293"/>
      <c r="I523" s="293"/>
      <c r="J523" s="293"/>
      <c r="K523" s="293"/>
      <c r="L523" s="293"/>
      <c r="M523" s="293"/>
      <c r="N523" s="293"/>
      <c r="O523" s="293"/>
      <c r="P523" s="293"/>
      <c r="Q523" s="293"/>
      <c r="R523" s="293"/>
      <c r="S523" s="293"/>
      <c r="T523" s="293"/>
      <c r="U523" s="293"/>
      <c r="V523" s="293"/>
      <c r="W523" s="293"/>
      <c r="X523" s="293"/>
      <c r="Y523" s="293"/>
      <c r="Z523" s="293"/>
      <c r="AA523" s="293"/>
      <c r="AB523" s="293"/>
      <c r="AC523" s="293"/>
      <c r="AD523" s="293"/>
    </row>
    <row r="524" spans="1:30" ht="14.25" customHeight="1" x14ac:dyDescent="0.3">
      <c r="A524" s="293"/>
      <c r="B524" s="293"/>
      <c r="C524" s="293"/>
      <c r="D524" s="293"/>
      <c r="E524" s="293"/>
      <c r="F524" s="293"/>
      <c r="G524" s="293"/>
      <c r="H524" s="293"/>
      <c r="I524" s="293"/>
      <c r="J524" s="293"/>
      <c r="K524" s="293"/>
      <c r="L524" s="293"/>
      <c r="M524" s="293"/>
      <c r="N524" s="293"/>
      <c r="O524" s="293"/>
      <c r="P524" s="293"/>
      <c r="Q524" s="293"/>
      <c r="R524" s="293"/>
      <c r="S524" s="293"/>
      <c r="T524" s="293"/>
      <c r="U524" s="293"/>
      <c r="V524" s="293"/>
      <c r="W524" s="293"/>
      <c r="X524" s="293"/>
      <c r="Y524" s="293"/>
      <c r="Z524" s="293"/>
      <c r="AA524" s="293"/>
      <c r="AB524" s="293"/>
      <c r="AC524" s="293"/>
      <c r="AD524" s="293"/>
    </row>
    <row r="525" spans="1:30" ht="14.25" customHeight="1" x14ac:dyDescent="0.3">
      <c r="A525" s="293"/>
      <c r="B525" s="293"/>
      <c r="C525" s="293"/>
      <c r="D525" s="293"/>
      <c r="E525" s="293"/>
      <c r="F525" s="293"/>
      <c r="G525" s="293"/>
      <c r="H525" s="293"/>
      <c r="I525" s="293"/>
      <c r="J525" s="293"/>
      <c r="K525" s="293"/>
      <c r="L525" s="293"/>
      <c r="M525" s="293"/>
      <c r="N525" s="293"/>
      <c r="O525" s="293"/>
      <c r="P525" s="293"/>
      <c r="Q525" s="293"/>
      <c r="R525" s="293"/>
      <c r="S525" s="293"/>
      <c r="T525" s="293"/>
      <c r="U525" s="293"/>
      <c r="V525" s="293"/>
      <c r="W525" s="293"/>
      <c r="X525" s="293"/>
      <c r="Y525" s="293"/>
      <c r="Z525" s="293"/>
      <c r="AA525" s="293"/>
      <c r="AB525" s="293"/>
      <c r="AC525" s="293"/>
      <c r="AD525" s="293"/>
    </row>
    <row r="526" spans="1:30" ht="14.25" customHeight="1" x14ac:dyDescent="0.3">
      <c r="A526" s="293"/>
      <c r="B526" s="293"/>
      <c r="C526" s="293"/>
      <c r="D526" s="293"/>
      <c r="E526" s="293"/>
      <c r="F526" s="293"/>
      <c r="G526" s="293"/>
      <c r="H526" s="293"/>
      <c r="I526" s="293"/>
      <c r="J526" s="293"/>
      <c r="K526" s="293"/>
      <c r="L526" s="293"/>
      <c r="M526" s="293"/>
      <c r="N526" s="293"/>
      <c r="O526" s="293"/>
      <c r="P526" s="293"/>
      <c r="Q526" s="293"/>
      <c r="R526" s="293"/>
      <c r="S526" s="293"/>
      <c r="T526" s="293"/>
      <c r="U526" s="293"/>
      <c r="V526" s="293"/>
      <c r="W526" s="293"/>
      <c r="X526" s="293"/>
      <c r="Y526" s="293"/>
      <c r="Z526" s="293"/>
      <c r="AA526" s="293"/>
      <c r="AB526" s="293"/>
      <c r="AC526" s="293"/>
      <c r="AD526" s="293"/>
    </row>
    <row r="527" spans="1:30" ht="14.25" customHeight="1" x14ac:dyDescent="0.3">
      <c r="A527" s="293"/>
      <c r="B527" s="293"/>
      <c r="C527" s="293"/>
      <c r="D527" s="293"/>
      <c r="E527" s="293"/>
      <c r="F527" s="293"/>
      <c r="G527" s="293"/>
      <c r="H527" s="293"/>
      <c r="I527" s="293"/>
      <c r="J527" s="293"/>
      <c r="K527" s="293"/>
      <c r="L527" s="293"/>
      <c r="M527" s="293"/>
      <c r="N527" s="293"/>
      <c r="O527" s="293"/>
      <c r="P527" s="293"/>
      <c r="Q527" s="293"/>
      <c r="R527" s="293"/>
      <c r="S527" s="293"/>
      <c r="T527" s="293"/>
      <c r="U527" s="293"/>
      <c r="V527" s="293"/>
      <c r="W527" s="293"/>
      <c r="X527" s="293"/>
      <c r="Y527" s="293"/>
      <c r="Z527" s="293"/>
      <c r="AA527" s="293"/>
      <c r="AB527" s="293"/>
      <c r="AC527" s="293"/>
      <c r="AD527" s="293"/>
    </row>
    <row r="528" spans="1:30" ht="14.25" customHeight="1" x14ac:dyDescent="0.3">
      <c r="A528" s="293"/>
      <c r="B528" s="293"/>
      <c r="C528" s="293"/>
      <c r="D528" s="293"/>
      <c r="E528" s="293"/>
      <c r="F528" s="293"/>
      <c r="G528" s="293"/>
      <c r="H528" s="293"/>
      <c r="I528" s="293"/>
      <c r="J528" s="293"/>
      <c r="K528" s="293"/>
      <c r="L528" s="293"/>
      <c r="M528" s="293"/>
      <c r="N528" s="293"/>
      <c r="O528" s="293"/>
      <c r="P528" s="293"/>
      <c r="Q528" s="293"/>
      <c r="R528" s="293"/>
      <c r="S528" s="293"/>
      <c r="T528" s="293"/>
      <c r="U528" s="293"/>
      <c r="V528" s="293"/>
      <c r="W528" s="293"/>
      <c r="X528" s="293"/>
      <c r="Y528" s="293"/>
      <c r="Z528" s="293"/>
      <c r="AA528" s="293"/>
      <c r="AB528" s="293"/>
      <c r="AC528" s="293"/>
      <c r="AD528" s="293"/>
    </row>
    <row r="529" spans="1:30" ht="14.25" customHeight="1" x14ac:dyDescent="0.3">
      <c r="A529" s="293"/>
      <c r="B529" s="293"/>
      <c r="C529" s="293"/>
      <c r="D529" s="293"/>
      <c r="E529" s="293"/>
      <c r="F529" s="293"/>
      <c r="G529" s="293"/>
      <c r="H529" s="293"/>
      <c r="I529" s="293"/>
      <c r="J529" s="293"/>
      <c r="K529" s="293"/>
      <c r="L529" s="293"/>
      <c r="M529" s="293"/>
      <c r="N529" s="293"/>
      <c r="O529" s="293"/>
      <c r="P529" s="293"/>
      <c r="Q529" s="293"/>
      <c r="R529" s="293"/>
      <c r="S529" s="293"/>
      <c r="T529" s="293"/>
      <c r="U529" s="293"/>
      <c r="V529" s="293"/>
      <c r="W529" s="293"/>
      <c r="X529" s="293"/>
      <c r="Y529" s="293"/>
      <c r="Z529" s="293"/>
      <c r="AA529" s="293"/>
      <c r="AB529" s="293"/>
      <c r="AC529" s="293"/>
      <c r="AD529" s="293"/>
    </row>
    <row r="530" spans="1:30" ht="14.25" customHeight="1" x14ac:dyDescent="0.3">
      <c r="A530" s="293"/>
      <c r="B530" s="293"/>
      <c r="C530" s="293"/>
      <c r="D530" s="293"/>
      <c r="E530" s="293"/>
      <c r="F530" s="293"/>
      <c r="G530" s="293"/>
      <c r="H530" s="293"/>
      <c r="I530" s="293"/>
      <c r="J530" s="293"/>
      <c r="K530" s="293"/>
      <c r="L530" s="293"/>
      <c r="M530" s="293"/>
      <c r="N530" s="293"/>
      <c r="O530" s="293"/>
      <c r="P530" s="293"/>
      <c r="Q530" s="293"/>
      <c r="R530" s="293"/>
      <c r="S530" s="293"/>
      <c r="T530" s="293"/>
      <c r="U530" s="293"/>
      <c r="V530" s="293"/>
      <c r="W530" s="293"/>
      <c r="X530" s="293"/>
      <c r="Y530" s="293"/>
      <c r="Z530" s="293"/>
      <c r="AA530" s="293"/>
      <c r="AB530" s="293"/>
      <c r="AC530" s="293"/>
      <c r="AD530" s="293"/>
    </row>
    <row r="531" spans="1:30" ht="14.25" customHeight="1" x14ac:dyDescent="0.3">
      <c r="A531" s="293"/>
      <c r="B531" s="293"/>
      <c r="C531" s="293"/>
      <c r="D531" s="293"/>
      <c r="E531" s="293"/>
      <c r="F531" s="293"/>
      <c r="G531" s="293"/>
      <c r="H531" s="293"/>
      <c r="I531" s="293"/>
      <c r="J531" s="293"/>
      <c r="K531" s="293"/>
      <c r="L531" s="293"/>
      <c r="M531" s="293"/>
      <c r="N531" s="293"/>
      <c r="O531" s="293"/>
      <c r="P531" s="293"/>
      <c r="Q531" s="293"/>
      <c r="R531" s="293"/>
      <c r="S531" s="293"/>
      <c r="T531" s="293"/>
      <c r="U531" s="293"/>
      <c r="V531" s="293"/>
      <c r="W531" s="293"/>
      <c r="X531" s="293"/>
      <c r="Y531" s="293"/>
      <c r="Z531" s="293"/>
      <c r="AA531" s="293"/>
      <c r="AB531" s="293"/>
      <c r="AC531" s="293"/>
      <c r="AD531" s="293"/>
    </row>
    <row r="532" spans="1:30" ht="14.25" customHeight="1" x14ac:dyDescent="0.3">
      <c r="A532" s="293"/>
      <c r="B532" s="293"/>
      <c r="C532" s="293"/>
      <c r="D532" s="293"/>
      <c r="E532" s="293"/>
      <c r="F532" s="293"/>
      <c r="G532" s="293"/>
      <c r="H532" s="293"/>
      <c r="I532" s="293"/>
      <c r="J532" s="293"/>
      <c r="K532" s="293"/>
      <c r="L532" s="293"/>
      <c r="M532" s="293"/>
      <c r="N532" s="293"/>
      <c r="O532" s="293"/>
      <c r="P532" s="293"/>
      <c r="Q532" s="293"/>
      <c r="R532" s="293"/>
      <c r="S532" s="293"/>
      <c r="T532" s="293"/>
      <c r="U532" s="293"/>
      <c r="V532" s="293"/>
      <c r="W532" s="293"/>
      <c r="X532" s="293"/>
      <c r="Y532" s="293"/>
      <c r="Z532" s="293"/>
      <c r="AA532" s="293"/>
      <c r="AB532" s="293"/>
      <c r="AC532" s="293"/>
      <c r="AD532" s="293"/>
    </row>
    <row r="533" spans="1:30" ht="14.25" customHeight="1" x14ac:dyDescent="0.3">
      <c r="A533" s="293"/>
      <c r="B533" s="293"/>
      <c r="C533" s="293"/>
      <c r="D533" s="293"/>
      <c r="E533" s="293"/>
      <c r="F533" s="293"/>
      <c r="G533" s="293"/>
      <c r="H533" s="293"/>
      <c r="I533" s="293"/>
      <c r="J533" s="293"/>
      <c r="K533" s="293"/>
      <c r="L533" s="293"/>
      <c r="M533" s="293"/>
      <c r="N533" s="293"/>
      <c r="O533" s="293"/>
      <c r="P533" s="293"/>
      <c r="Q533" s="293"/>
      <c r="R533" s="293"/>
      <c r="S533" s="293"/>
      <c r="T533" s="293"/>
      <c r="U533" s="293"/>
      <c r="V533" s="293"/>
      <c r="W533" s="293"/>
      <c r="X533" s="293"/>
      <c r="Y533" s="293"/>
      <c r="Z533" s="293"/>
      <c r="AA533" s="293"/>
      <c r="AB533" s="293"/>
      <c r="AC533" s="293"/>
      <c r="AD533" s="293"/>
    </row>
    <row r="534" spans="1:30" ht="14.25" customHeight="1" x14ac:dyDescent="0.3">
      <c r="A534" s="293"/>
      <c r="B534" s="293"/>
      <c r="C534" s="293"/>
      <c r="D534" s="293"/>
      <c r="E534" s="293"/>
      <c r="F534" s="293"/>
      <c r="G534" s="293"/>
      <c r="H534" s="293"/>
      <c r="I534" s="293"/>
      <c r="J534" s="293"/>
      <c r="K534" s="293"/>
      <c r="L534" s="293"/>
      <c r="M534" s="293"/>
      <c r="N534" s="293"/>
      <c r="O534" s="293"/>
      <c r="P534" s="293"/>
      <c r="Q534" s="293"/>
      <c r="R534" s="293"/>
      <c r="S534" s="293"/>
      <c r="T534" s="293"/>
      <c r="U534" s="293"/>
      <c r="V534" s="293"/>
      <c r="W534" s="293"/>
      <c r="X534" s="293"/>
      <c r="Y534" s="293"/>
      <c r="Z534" s="293"/>
      <c r="AA534" s="293"/>
      <c r="AB534" s="293"/>
      <c r="AC534" s="293"/>
      <c r="AD534" s="293"/>
    </row>
    <row r="535" spans="1:30" ht="14.25" customHeight="1" x14ac:dyDescent="0.3">
      <c r="A535" s="293"/>
      <c r="B535" s="293"/>
      <c r="C535" s="293"/>
      <c r="D535" s="293"/>
      <c r="E535" s="293"/>
      <c r="F535" s="293"/>
      <c r="G535" s="293"/>
      <c r="H535" s="293"/>
      <c r="I535" s="293"/>
      <c r="J535" s="293"/>
      <c r="K535" s="293"/>
      <c r="L535" s="293"/>
      <c r="M535" s="293"/>
      <c r="N535" s="293"/>
      <c r="O535" s="293"/>
      <c r="P535" s="293"/>
      <c r="Q535" s="293"/>
      <c r="R535" s="293"/>
      <c r="S535" s="293"/>
      <c r="T535" s="293"/>
      <c r="U535" s="293"/>
      <c r="V535" s="293"/>
      <c r="W535" s="293"/>
      <c r="X535" s="293"/>
      <c r="Y535" s="293"/>
      <c r="Z535" s="293"/>
      <c r="AA535" s="293"/>
      <c r="AB535" s="293"/>
      <c r="AC535" s="293"/>
      <c r="AD535" s="293"/>
    </row>
    <row r="536" spans="1:30" ht="14.25" customHeight="1" x14ac:dyDescent="0.3">
      <c r="A536" s="293"/>
      <c r="B536" s="293"/>
      <c r="C536" s="293"/>
      <c r="D536" s="293"/>
      <c r="E536" s="293"/>
      <c r="F536" s="293"/>
      <c r="G536" s="293"/>
      <c r="H536" s="293"/>
      <c r="I536" s="293"/>
      <c r="J536" s="293"/>
      <c r="K536" s="293"/>
      <c r="L536" s="293"/>
      <c r="M536" s="293"/>
      <c r="N536" s="293"/>
      <c r="O536" s="293"/>
      <c r="P536" s="293"/>
      <c r="Q536" s="293"/>
      <c r="R536" s="293"/>
      <c r="S536" s="293"/>
      <c r="T536" s="293"/>
      <c r="U536" s="293"/>
      <c r="V536" s="293"/>
      <c r="W536" s="293"/>
      <c r="X536" s="293"/>
      <c r="Y536" s="293"/>
      <c r="Z536" s="293"/>
      <c r="AA536" s="293"/>
      <c r="AB536" s="293"/>
      <c r="AC536" s="293"/>
      <c r="AD536" s="293"/>
    </row>
    <row r="537" spans="1:30" ht="14.25" customHeight="1" x14ac:dyDescent="0.3">
      <c r="A537" s="293"/>
      <c r="B537" s="293"/>
      <c r="C537" s="293"/>
      <c r="D537" s="293"/>
      <c r="E537" s="293"/>
      <c r="F537" s="293"/>
      <c r="G537" s="293"/>
      <c r="H537" s="293"/>
      <c r="I537" s="293"/>
      <c r="J537" s="293"/>
      <c r="K537" s="293"/>
      <c r="L537" s="293"/>
      <c r="M537" s="293"/>
      <c r="N537" s="293"/>
      <c r="O537" s="293"/>
      <c r="P537" s="293"/>
      <c r="Q537" s="293"/>
      <c r="R537" s="293"/>
      <c r="S537" s="293"/>
      <c r="T537" s="293"/>
      <c r="U537" s="293"/>
      <c r="V537" s="293"/>
      <c r="W537" s="293"/>
      <c r="X537" s="293"/>
      <c r="Y537" s="293"/>
      <c r="Z537" s="293"/>
      <c r="AA537" s="293"/>
      <c r="AB537" s="293"/>
      <c r="AC537" s="293"/>
      <c r="AD537" s="293"/>
    </row>
    <row r="538" spans="1:30" ht="14.25" customHeight="1" x14ac:dyDescent="0.3">
      <c r="A538" s="293"/>
      <c r="B538" s="293"/>
      <c r="C538" s="293"/>
      <c r="D538" s="293"/>
      <c r="E538" s="293"/>
      <c r="F538" s="293"/>
      <c r="G538" s="293"/>
      <c r="H538" s="293"/>
      <c r="I538" s="293"/>
      <c r="J538" s="293"/>
      <c r="K538" s="293"/>
      <c r="L538" s="293"/>
      <c r="M538" s="293"/>
      <c r="N538" s="293"/>
      <c r="O538" s="293"/>
      <c r="P538" s="293"/>
      <c r="Q538" s="293"/>
      <c r="R538" s="293"/>
      <c r="S538" s="293"/>
      <c r="T538" s="293"/>
      <c r="U538" s="293"/>
      <c r="V538" s="293"/>
      <c r="W538" s="293"/>
      <c r="X538" s="293"/>
      <c r="Y538" s="293"/>
      <c r="Z538" s="293"/>
      <c r="AA538" s="293"/>
      <c r="AB538" s="293"/>
      <c r="AC538" s="293"/>
      <c r="AD538" s="293"/>
    </row>
    <row r="539" spans="1:30" ht="14.25" customHeight="1" x14ac:dyDescent="0.3">
      <c r="A539" s="293"/>
      <c r="B539" s="293"/>
      <c r="C539" s="293"/>
      <c r="D539" s="293"/>
      <c r="E539" s="293"/>
      <c r="F539" s="293"/>
      <c r="G539" s="293"/>
      <c r="H539" s="293"/>
      <c r="I539" s="293"/>
      <c r="J539" s="293"/>
      <c r="K539" s="293"/>
      <c r="L539" s="293"/>
      <c r="M539" s="293"/>
      <c r="N539" s="293"/>
      <c r="O539" s="293"/>
      <c r="P539" s="293"/>
      <c r="Q539" s="293"/>
      <c r="R539" s="293"/>
      <c r="S539" s="293"/>
      <c r="T539" s="293"/>
      <c r="U539" s="293"/>
      <c r="V539" s="293"/>
      <c r="W539" s="293"/>
      <c r="X539" s="293"/>
      <c r="Y539" s="293"/>
      <c r="Z539" s="293"/>
      <c r="AA539" s="293"/>
      <c r="AB539" s="293"/>
      <c r="AC539" s="293"/>
      <c r="AD539" s="293"/>
    </row>
    <row r="540" spans="1:30" ht="14.25" customHeight="1" x14ac:dyDescent="0.3">
      <c r="A540" s="293"/>
      <c r="B540" s="293"/>
      <c r="C540" s="293"/>
      <c r="D540" s="293"/>
      <c r="E540" s="293"/>
      <c r="F540" s="293"/>
      <c r="G540" s="293"/>
      <c r="H540" s="293"/>
      <c r="I540" s="293"/>
      <c r="J540" s="293"/>
      <c r="K540" s="293"/>
      <c r="L540" s="293"/>
      <c r="M540" s="293"/>
      <c r="N540" s="293"/>
      <c r="O540" s="293"/>
      <c r="P540" s="293"/>
      <c r="Q540" s="293"/>
      <c r="R540" s="293"/>
      <c r="S540" s="293"/>
      <c r="T540" s="293"/>
      <c r="U540" s="293"/>
      <c r="V540" s="293"/>
      <c r="W540" s="293"/>
      <c r="X540" s="293"/>
      <c r="Y540" s="293"/>
      <c r="Z540" s="293"/>
      <c r="AA540" s="293"/>
      <c r="AB540" s="293"/>
      <c r="AC540" s="293"/>
      <c r="AD540" s="293"/>
    </row>
    <row r="541" spans="1:30" ht="14.25" customHeight="1" x14ac:dyDescent="0.3">
      <c r="A541" s="293"/>
      <c r="B541" s="293"/>
      <c r="C541" s="293"/>
      <c r="D541" s="293"/>
      <c r="E541" s="293"/>
      <c r="F541" s="293"/>
      <c r="G541" s="293"/>
      <c r="H541" s="293"/>
      <c r="I541" s="293"/>
      <c r="J541" s="293"/>
      <c r="K541" s="293"/>
      <c r="L541" s="293"/>
      <c r="M541" s="293"/>
      <c r="N541" s="293"/>
      <c r="O541" s="293"/>
      <c r="P541" s="293"/>
      <c r="Q541" s="293"/>
      <c r="R541" s="293"/>
      <c r="S541" s="293"/>
      <c r="T541" s="293"/>
      <c r="U541" s="293"/>
      <c r="V541" s="293"/>
      <c r="W541" s="293"/>
      <c r="X541" s="293"/>
      <c r="Y541" s="293"/>
      <c r="Z541" s="293"/>
      <c r="AA541" s="293"/>
      <c r="AB541" s="293"/>
      <c r="AC541" s="293"/>
      <c r="AD541" s="293"/>
    </row>
    <row r="542" spans="1:30" ht="14.25" customHeight="1" x14ac:dyDescent="0.3">
      <c r="A542" s="293"/>
      <c r="B542" s="293"/>
      <c r="C542" s="293"/>
      <c r="D542" s="293"/>
      <c r="E542" s="293"/>
      <c r="F542" s="293"/>
      <c r="G542" s="293"/>
      <c r="H542" s="293"/>
      <c r="I542" s="293"/>
      <c r="J542" s="293"/>
      <c r="K542" s="293"/>
      <c r="L542" s="293"/>
      <c r="M542" s="293"/>
      <c r="N542" s="293"/>
      <c r="O542" s="293"/>
      <c r="P542" s="293"/>
      <c r="Q542" s="293"/>
      <c r="R542" s="293"/>
      <c r="S542" s="293"/>
      <c r="T542" s="293"/>
      <c r="U542" s="293"/>
      <c r="V542" s="293"/>
      <c r="W542" s="293"/>
      <c r="X542" s="293"/>
      <c r="Y542" s="293"/>
      <c r="Z542" s="293"/>
      <c r="AA542" s="293"/>
      <c r="AB542" s="293"/>
      <c r="AC542" s="293"/>
      <c r="AD542" s="293"/>
    </row>
    <row r="543" spans="1:30" ht="14.25" customHeight="1" x14ac:dyDescent="0.3">
      <c r="A543" s="293"/>
      <c r="B543" s="293"/>
      <c r="C543" s="293"/>
      <c r="D543" s="293"/>
      <c r="E543" s="293"/>
      <c r="F543" s="293"/>
      <c r="G543" s="293"/>
      <c r="H543" s="293"/>
      <c r="I543" s="293"/>
      <c r="J543" s="293"/>
      <c r="K543" s="293"/>
      <c r="L543" s="293"/>
      <c r="M543" s="293"/>
      <c r="N543" s="293"/>
      <c r="O543" s="293"/>
      <c r="P543" s="293"/>
      <c r="Q543" s="293"/>
      <c r="R543" s="293"/>
      <c r="S543" s="293"/>
      <c r="T543" s="293"/>
      <c r="U543" s="293"/>
      <c r="V543" s="293"/>
      <c r="W543" s="293"/>
      <c r="X543" s="293"/>
      <c r="Y543" s="293"/>
      <c r="Z543" s="293"/>
      <c r="AA543" s="293"/>
      <c r="AB543" s="293"/>
      <c r="AC543" s="293"/>
      <c r="AD543" s="293"/>
    </row>
    <row r="544" spans="1:30" ht="14.25" customHeight="1" x14ac:dyDescent="0.3">
      <c r="A544" s="293"/>
      <c r="B544" s="293"/>
      <c r="C544" s="293"/>
      <c r="D544" s="293"/>
      <c r="E544" s="293"/>
      <c r="F544" s="293"/>
      <c r="G544" s="293"/>
      <c r="H544" s="293"/>
      <c r="I544" s="293"/>
      <c r="J544" s="293"/>
      <c r="K544" s="293"/>
      <c r="L544" s="293"/>
      <c r="M544" s="293"/>
      <c r="N544" s="293"/>
      <c r="O544" s="293"/>
      <c r="P544" s="293"/>
      <c r="Q544" s="293"/>
      <c r="R544" s="293"/>
      <c r="S544" s="293"/>
      <c r="T544" s="293"/>
      <c r="U544" s="293"/>
      <c r="V544" s="293"/>
      <c r="W544" s="293"/>
      <c r="X544" s="293"/>
      <c r="Y544" s="293"/>
      <c r="Z544" s="293"/>
      <c r="AA544" s="293"/>
      <c r="AB544" s="293"/>
      <c r="AC544" s="293"/>
      <c r="AD544" s="293"/>
    </row>
    <row r="545" spans="1:30" ht="14.25" customHeight="1" x14ac:dyDescent="0.3">
      <c r="A545" s="293"/>
      <c r="B545" s="293"/>
      <c r="C545" s="293"/>
      <c r="D545" s="293"/>
      <c r="E545" s="293"/>
      <c r="F545" s="293"/>
      <c r="G545" s="293"/>
      <c r="H545" s="293"/>
      <c r="I545" s="293"/>
      <c r="J545" s="293"/>
      <c r="K545" s="293"/>
      <c r="L545" s="293"/>
      <c r="M545" s="293"/>
      <c r="N545" s="293"/>
      <c r="O545" s="293"/>
      <c r="P545" s="293"/>
      <c r="Q545" s="293"/>
      <c r="R545" s="293"/>
      <c r="S545" s="293"/>
      <c r="T545" s="293"/>
      <c r="U545" s="293"/>
      <c r="V545" s="293"/>
      <c r="W545" s="293"/>
      <c r="X545" s="293"/>
      <c r="Y545" s="293"/>
      <c r="Z545" s="293"/>
      <c r="AA545" s="293"/>
      <c r="AB545" s="293"/>
      <c r="AC545" s="293"/>
      <c r="AD545" s="293"/>
    </row>
    <row r="546" spans="1:30" ht="14.25" customHeight="1" x14ac:dyDescent="0.3">
      <c r="A546" s="293"/>
      <c r="B546" s="293"/>
      <c r="C546" s="293"/>
      <c r="D546" s="293"/>
      <c r="E546" s="293"/>
      <c r="F546" s="293"/>
      <c r="G546" s="293"/>
      <c r="H546" s="293"/>
      <c r="I546" s="293"/>
      <c r="J546" s="293"/>
      <c r="K546" s="293"/>
      <c r="L546" s="293"/>
      <c r="M546" s="293"/>
      <c r="N546" s="293"/>
      <c r="O546" s="293"/>
      <c r="P546" s="293"/>
      <c r="Q546" s="293"/>
      <c r="R546" s="293"/>
      <c r="S546" s="293"/>
      <c r="T546" s="293"/>
      <c r="U546" s="293"/>
      <c r="V546" s="293"/>
      <c r="W546" s="293"/>
      <c r="X546" s="293"/>
      <c r="Y546" s="293"/>
      <c r="Z546" s="293"/>
      <c r="AA546" s="293"/>
      <c r="AB546" s="293"/>
      <c r="AC546" s="293"/>
      <c r="AD546" s="293"/>
    </row>
    <row r="547" spans="1:30" ht="14.25" customHeight="1" x14ac:dyDescent="0.3">
      <c r="A547" s="293"/>
      <c r="B547" s="293"/>
      <c r="C547" s="293"/>
      <c r="D547" s="293"/>
      <c r="E547" s="293"/>
      <c r="F547" s="293"/>
      <c r="G547" s="293"/>
      <c r="H547" s="293"/>
      <c r="I547" s="293"/>
      <c r="J547" s="293"/>
      <c r="K547" s="293"/>
      <c r="L547" s="293"/>
      <c r="M547" s="293"/>
      <c r="N547" s="293"/>
      <c r="O547" s="293"/>
      <c r="P547" s="293"/>
      <c r="Q547" s="293"/>
      <c r="R547" s="293"/>
      <c r="S547" s="293"/>
      <c r="T547" s="293"/>
      <c r="U547" s="293"/>
      <c r="V547" s="293"/>
      <c r="W547" s="293"/>
      <c r="X547" s="293"/>
      <c r="Y547" s="293"/>
      <c r="Z547" s="293"/>
      <c r="AA547" s="293"/>
      <c r="AB547" s="293"/>
      <c r="AC547" s="293"/>
      <c r="AD547" s="293"/>
    </row>
    <row r="548" spans="1:30" ht="14.25" customHeight="1" x14ac:dyDescent="0.3">
      <c r="A548" s="293"/>
      <c r="B548" s="293"/>
      <c r="C548" s="293"/>
      <c r="D548" s="293"/>
      <c r="E548" s="293"/>
      <c r="F548" s="293"/>
      <c r="G548" s="293"/>
      <c r="H548" s="293"/>
      <c r="I548" s="293"/>
      <c r="J548" s="293"/>
      <c r="K548" s="293"/>
      <c r="L548" s="293"/>
      <c r="M548" s="293"/>
      <c r="N548" s="293"/>
      <c r="O548" s="293"/>
      <c r="P548" s="293"/>
      <c r="Q548" s="293"/>
      <c r="R548" s="293"/>
      <c r="S548" s="293"/>
      <c r="T548" s="293"/>
      <c r="U548" s="293"/>
      <c r="V548" s="293"/>
      <c r="W548" s="293"/>
      <c r="X548" s="293"/>
      <c r="Y548" s="293"/>
      <c r="Z548" s="293"/>
      <c r="AA548" s="293"/>
      <c r="AB548" s="293"/>
      <c r="AC548" s="293"/>
      <c r="AD548" s="293"/>
    </row>
    <row r="549" spans="1:30" ht="14.25" customHeight="1" x14ac:dyDescent="0.3">
      <c r="A549" s="293"/>
      <c r="B549" s="293"/>
      <c r="C549" s="293"/>
      <c r="D549" s="293"/>
      <c r="E549" s="293"/>
      <c r="F549" s="293"/>
      <c r="G549" s="293"/>
      <c r="H549" s="293"/>
      <c r="I549" s="293"/>
      <c r="J549" s="293"/>
      <c r="K549" s="293"/>
      <c r="L549" s="293"/>
      <c r="M549" s="293"/>
      <c r="N549" s="293"/>
      <c r="O549" s="293"/>
      <c r="P549" s="293"/>
      <c r="Q549" s="293"/>
      <c r="R549" s="293"/>
      <c r="S549" s="293"/>
      <c r="T549" s="293"/>
      <c r="U549" s="293"/>
      <c r="V549" s="293"/>
      <c r="W549" s="293"/>
      <c r="X549" s="293"/>
      <c r="Y549" s="293"/>
      <c r="Z549" s="293"/>
      <c r="AA549" s="293"/>
      <c r="AB549" s="293"/>
      <c r="AC549" s="293"/>
      <c r="AD549" s="293"/>
    </row>
    <row r="550" spans="1:30" ht="14.25" customHeight="1" x14ac:dyDescent="0.3">
      <c r="A550" s="293"/>
      <c r="B550" s="293"/>
      <c r="C550" s="293"/>
      <c r="D550" s="293"/>
      <c r="E550" s="293"/>
      <c r="F550" s="293"/>
      <c r="G550" s="293"/>
      <c r="H550" s="293"/>
      <c r="I550" s="293"/>
      <c r="J550" s="293"/>
      <c r="K550" s="293"/>
      <c r="L550" s="293"/>
      <c r="M550" s="293"/>
      <c r="N550" s="293"/>
      <c r="O550" s="293"/>
      <c r="P550" s="293"/>
      <c r="Q550" s="293"/>
      <c r="R550" s="293"/>
      <c r="S550" s="293"/>
      <c r="T550" s="293"/>
      <c r="U550" s="293"/>
      <c r="V550" s="293"/>
      <c r="W550" s="293"/>
      <c r="X550" s="293"/>
      <c r="Y550" s="293"/>
      <c r="Z550" s="293"/>
      <c r="AA550" s="293"/>
      <c r="AB550" s="293"/>
      <c r="AC550" s="293"/>
      <c r="AD550" s="293"/>
    </row>
    <row r="551" spans="1:30" ht="14.25" customHeight="1" x14ac:dyDescent="0.3">
      <c r="A551" s="293"/>
      <c r="B551" s="293"/>
      <c r="C551" s="293"/>
      <c r="D551" s="293"/>
      <c r="E551" s="293"/>
      <c r="F551" s="293"/>
      <c r="G551" s="293"/>
      <c r="H551" s="293"/>
      <c r="I551" s="293"/>
      <c r="J551" s="293"/>
      <c r="K551" s="293"/>
      <c r="L551" s="293"/>
      <c r="M551" s="293"/>
      <c r="N551" s="293"/>
      <c r="O551" s="293"/>
      <c r="P551" s="293"/>
      <c r="Q551" s="293"/>
      <c r="R551" s="293"/>
      <c r="S551" s="293"/>
      <c r="T551" s="293"/>
      <c r="U551" s="293"/>
      <c r="V551" s="293"/>
      <c r="W551" s="293"/>
      <c r="X551" s="293"/>
      <c r="Y551" s="293"/>
      <c r="Z551" s="293"/>
      <c r="AA551" s="293"/>
      <c r="AB551" s="293"/>
      <c r="AC551" s="293"/>
      <c r="AD551" s="293"/>
    </row>
    <row r="552" spans="1:30" ht="14.25" customHeight="1" x14ac:dyDescent="0.3">
      <c r="A552" s="293"/>
      <c r="B552" s="293"/>
      <c r="C552" s="293"/>
      <c r="D552" s="293"/>
      <c r="E552" s="293"/>
      <c r="F552" s="293"/>
      <c r="G552" s="293"/>
      <c r="H552" s="293"/>
      <c r="I552" s="293"/>
      <c r="J552" s="293"/>
      <c r="K552" s="293"/>
      <c r="L552" s="293"/>
      <c r="M552" s="293"/>
      <c r="N552" s="293"/>
      <c r="O552" s="293"/>
      <c r="P552" s="293"/>
      <c r="Q552" s="293"/>
      <c r="R552" s="293"/>
      <c r="S552" s="293"/>
      <c r="T552" s="293"/>
      <c r="U552" s="293"/>
      <c r="V552" s="293"/>
      <c r="W552" s="293"/>
      <c r="X552" s="293"/>
      <c r="Y552" s="293"/>
      <c r="Z552" s="293"/>
      <c r="AA552" s="293"/>
      <c r="AB552" s="293"/>
      <c r="AC552" s="293"/>
      <c r="AD552" s="293"/>
    </row>
    <row r="553" spans="1:30" ht="14.25" customHeight="1" x14ac:dyDescent="0.3">
      <c r="A553" s="293"/>
      <c r="B553" s="293"/>
      <c r="C553" s="293"/>
      <c r="D553" s="293"/>
      <c r="E553" s="293"/>
      <c r="F553" s="293"/>
      <c r="G553" s="293"/>
      <c r="H553" s="293"/>
      <c r="I553" s="293"/>
      <c r="J553" s="293"/>
      <c r="K553" s="293"/>
      <c r="L553" s="293"/>
      <c r="M553" s="293"/>
      <c r="N553" s="293"/>
      <c r="O553" s="293"/>
      <c r="P553" s="293"/>
      <c r="Q553" s="293"/>
      <c r="R553" s="293"/>
      <c r="S553" s="293"/>
      <c r="T553" s="293"/>
      <c r="U553" s="293"/>
      <c r="V553" s="293"/>
      <c r="W553" s="293"/>
      <c r="X553" s="293"/>
      <c r="Y553" s="293"/>
      <c r="Z553" s="293"/>
      <c r="AA553" s="293"/>
      <c r="AB553" s="293"/>
      <c r="AC553" s="293"/>
      <c r="AD553" s="293"/>
    </row>
    <row r="554" spans="1:30" ht="14.25" customHeight="1" x14ac:dyDescent="0.3">
      <c r="A554" s="293"/>
      <c r="B554" s="293"/>
      <c r="C554" s="293"/>
      <c r="D554" s="293"/>
      <c r="E554" s="293"/>
      <c r="F554" s="293"/>
      <c r="G554" s="293"/>
      <c r="H554" s="293"/>
      <c r="I554" s="293"/>
      <c r="J554" s="293"/>
      <c r="K554" s="293"/>
      <c r="L554" s="293"/>
      <c r="M554" s="293"/>
      <c r="N554" s="293"/>
      <c r="O554" s="293"/>
      <c r="P554" s="293"/>
      <c r="Q554" s="293"/>
      <c r="R554" s="293"/>
      <c r="S554" s="293"/>
      <c r="T554" s="293"/>
      <c r="U554" s="293"/>
      <c r="V554" s="293"/>
      <c r="W554" s="293"/>
      <c r="X554" s="293"/>
      <c r="Y554" s="293"/>
      <c r="Z554" s="293"/>
      <c r="AA554" s="293"/>
      <c r="AB554" s="293"/>
      <c r="AC554" s="293"/>
      <c r="AD554" s="293"/>
    </row>
    <row r="555" spans="1:30" ht="14.25" customHeight="1" x14ac:dyDescent="0.3">
      <c r="A555" s="293"/>
      <c r="B555" s="293"/>
      <c r="C555" s="293"/>
      <c r="D555" s="293"/>
      <c r="E555" s="293"/>
      <c r="F555" s="293"/>
      <c r="G555" s="293"/>
      <c r="H555" s="293"/>
      <c r="I555" s="293"/>
      <c r="J555" s="293"/>
      <c r="K555" s="293"/>
      <c r="L555" s="293"/>
      <c r="M555" s="293"/>
      <c r="N555" s="293"/>
      <c r="O555" s="293"/>
      <c r="P555" s="293"/>
      <c r="Q555" s="293"/>
      <c r="R555" s="293"/>
      <c r="S555" s="293"/>
      <c r="T555" s="293"/>
      <c r="U555" s="293"/>
      <c r="V555" s="293"/>
      <c r="W555" s="293"/>
      <c r="X555" s="293"/>
      <c r="Y555" s="293"/>
      <c r="Z555" s="293"/>
      <c r="AA555" s="293"/>
      <c r="AB555" s="293"/>
      <c r="AC555" s="293"/>
      <c r="AD555" s="293"/>
    </row>
    <row r="556" spans="1:30" ht="14.25" customHeight="1" x14ac:dyDescent="0.3">
      <c r="A556" s="293"/>
      <c r="B556" s="293"/>
      <c r="C556" s="293"/>
      <c r="D556" s="293"/>
      <c r="E556" s="293"/>
      <c r="F556" s="293"/>
      <c r="G556" s="293"/>
      <c r="H556" s="293"/>
      <c r="I556" s="293"/>
      <c r="J556" s="293"/>
      <c r="K556" s="293"/>
      <c r="L556" s="293"/>
      <c r="M556" s="293"/>
      <c r="N556" s="293"/>
      <c r="O556" s="293"/>
      <c r="P556" s="293"/>
      <c r="Q556" s="293"/>
      <c r="R556" s="293"/>
      <c r="S556" s="293"/>
      <c r="T556" s="293"/>
      <c r="U556" s="293"/>
      <c r="V556" s="293"/>
      <c r="W556" s="293"/>
      <c r="X556" s="293"/>
      <c r="Y556" s="293"/>
      <c r="Z556" s="293"/>
      <c r="AA556" s="293"/>
      <c r="AB556" s="293"/>
      <c r="AC556" s="293"/>
      <c r="AD556" s="293"/>
    </row>
    <row r="557" spans="1:30" ht="14.25" customHeight="1" x14ac:dyDescent="0.3">
      <c r="A557" s="293"/>
      <c r="B557" s="293"/>
      <c r="C557" s="293"/>
      <c r="D557" s="293"/>
      <c r="E557" s="293"/>
      <c r="F557" s="293"/>
      <c r="G557" s="293"/>
      <c r="H557" s="293"/>
      <c r="I557" s="293"/>
      <c r="J557" s="293"/>
      <c r="K557" s="293"/>
      <c r="L557" s="293"/>
      <c r="M557" s="293"/>
      <c r="N557" s="293"/>
      <c r="O557" s="293"/>
      <c r="P557" s="293"/>
      <c r="Q557" s="293"/>
      <c r="R557" s="293"/>
      <c r="S557" s="293"/>
      <c r="T557" s="293"/>
      <c r="U557" s="293"/>
      <c r="V557" s="293"/>
      <c r="W557" s="293"/>
      <c r="X557" s="293"/>
      <c r="Y557" s="293"/>
      <c r="Z557" s="293"/>
      <c r="AA557" s="293"/>
      <c r="AB557" s="293"/>
      <c r="AC557" s="293"/>
      <c r="AD557" s="293"/>
    </row>
    <row r="558" spans="1:30" ht="14.25" customHeight="1" x14ac:dyDescent="0.3">
      <c r="A558" s="293"/>
      <c r="B558" s="293"/>
      <c r="C558" s="293"/>
      <c r="D558" s="293"/>
      <c r="E558" s="293"/>
      <c r="F558" s="293"/>
      <c r="G558" s="293"/>
      <c r="H558" s="293"/>
      <c r="I558" s="293"/>
      <c r="J558" s="293"/>
      <c r="K558" s="293"/>
      <c r="L558" s="293"/>
      <c r="M558" s="293"/>
      <c r="N558" s="293"/>
      <c r="O558" s="293"/>
      <c r="P558" s="293"/>
      <c r="Q558" s="293"/>
      <c r="R558" s="293"/>
      <c r="S558" s="293"/>
      <c r="T558" s="293"/>
      <c r="U558" s="293"/>
      <c r="V558" s="293"/>
      <c r="W558" s="293"/>
      <c r="X558" s="293"/>
      <c r="Y558" s="293"/>
      <c r="Z558" s="293"/>
      <c r="AA558" s="293"/>
      <c r="AB558" s="293"/>
      <c r="AC558" s="293"/>
      <c r="AD558" s="293"/>
    </row>
    <row r="559" spans="1:30" ht="14.25" customHeight="1" x14ac:dyDescent="0.3">
      <c r="A559" s="293"/>
      <c r="B559" s="293"/>
      <c r="C559" s="293"/>
      <c r="D559" s="293"/>
      <c r="E559" s="293"/>
      <c r="F559" s="293"/>
      <c r="G559" s="293"/>
      <c r="H559" s="293"/>
      <c r="I559" s="293"/>
      <c r="J559" s="293"/>
      <c r="K559" s="293"/>
      <c r="L559" s="293"/>
      <c r="M559" s="293"/>
      <c r="N559" s="293"/>
      <c r="O559" s="293"/>
      <c r="P559" s="293"/>
      <c r="Q559" s="293"/>
      <c r="R559" s="293"/>
      <c r="S559" s="293"/>
      <c r="T559" s="293"/>
      <c r="U559" s="293"/>
      <c r="V559" s="293"/>
      <c r="W559" s="293"/>
      <c r="X559" s="293"/>
      <c r="Y559" s="293"/>
      <c r="Z559" s="293"/>
      <c r="AA559" s="293"/>
      <c r="AB559" s="293"/>
      <c r="AC559" s="293"/>
      <c r="AD559" s="293"/>
    </row>
    <row r="560" spans="1:30" ht="14.25" customHeight="1" x14ac:dyDescent="0.3">
      <c r="A560" s="293"/>
      <c r="B560" s="293"/>
      <c r="C560" s="293"/>
      <c r="D560" s="293"/>
      <c r="E560" s="293"/>
      <c r="F560" s="293"/>
      <c r="G560" s="293"/>
      <c r="H560" s="293"/>
      <c r="I560" s="293"/>
      <c r="J560" s="293"/>
      <c r="K560" s="293"/>
      <c r="L560" s="293"/>
      <c r="M560" s="293"/>
      <c r="N560" s="293"/>
      <c r="O560" s="293"/>
      <c r="P560" s="293"/>
      <c r="Q560" s="293"/>
      <c r="R560" s="293"/>
      <c r="S560" s="293"/>
      <c r="T560" s="293"/>
      <c r="U560" s="293"/>
      <c r="V560" s="293"/>
      <c r="W560" s="293"/>
      <c r="X560" s="293"/>
      <c r="Y560" s="293"/>
      <c r="Z560" s="293"/>
      <c r="AA560" s="293"/>
      <c r="AB560" s="293"/>
      <c r="AC560" s="293"/>
      <c r="AD560" s="293"/>
    </row>
    <row r="561" spans="1:30" ht="14.25" customHeight="1" x14ac:dyDescent="0.3">
      <c r="A561" s="293"/>
      <c r="B561" s="293"/>
      <c r="C561" s="293"/>
      <c r="D561" s="293"/>
      <c r="E561" s="293"/>
      <c r="F561" s="293"/>
      <c r="G561" s="293"/>
      <c r="H561" s="293"/>
      <c r="I561" s="293"/>
      <c r="J561" s="293"/>
      <c r="K561" s="293"/>
      <c r="L561" s="293"/>
      <c r="M561" s="293"/>
      <c r="N561" s="293"/>
      <c r="O561" s="293"/>
      <c r="P561" s="293"/>
      <c r="Q561" s="293"/>
      <c r="R561" s="293"/>
      <c r="S561" s="293"/>
      <c r="T561" s="293"/>
      <c r="U561" s="293"/>
      <c r="V561" s="293"/>
      <c r="W561" s="293"/>
      <c r="X561" s="293"/>
      <c r="Y561" s="293"/>
      <c r="Z561" s="293"/>
      <c r="AA561" s="293"/>
      <c r="AB561" s="293"/>
      <c r="AC561" s="293"/>
      <c r="AD561" s="293"/>
    </row>
    <row r="562" spans="1:30" ht="14.25" customHeight="1" x14ac:dyDescent="0.3">
      <c r="A562" s="293"/>
      <c r="B562" s="293"/>
      <c r="C562" s="293"/>
      <c r="D562" s="293"/>
      <c r="E562" s="293"/>
      <c r="F562" s="293"/>
      <c r="G562" s="293"/>
      <c r="H562" s="293"/>
      <c r="I562" s="293"/>
      <c r="J562" s="293"/>
      <c r="K562" s="293"/>
      <c r="L562" s="293"/>
      <c r="M562" s="293"/>
      <c r="N562" s="293"/>
      <c r="O562" s="293"/>
      <c r="P562" s="293"/>
      <c r="Q562" s="293"/>
      <c r="R562" s="293"/>
      <c r="S562" s="293"/>
      <c r="T562" s="293"/>
      <c r="U562" s="293"/>
      <c r="V562" s="293"/>
      <c r="W562" s="293"/>
      <c r="X562" s="293"/>
      <c r="Y562" s="293"/>
      <c r="Z562" s="293"/>
      <c r="AA562" s="293"/>
      <c r="AB562" s="293"/>
      <c r="AC562" s="293"/>
      <c r="AD562" s="293"/>
    </row>
    <row r="563" spans="1:30" ht="14.25" customHeight="1" x14ac:dyDescent="0.3">
      <c r="A563" s="293"/>
      <c r="B563" s="293"/>
      <c r="C563" s="293"/>
      <c r="D563" s="293"/>
      <c r="E563" s="293"/>
      <c r="F563" s="293"/>
      <c r="G563" s="293"/>
      <c r="H563" s="293"/>
      <c r="I563" s="293"/>
      <c r="J563" s="293"/>
      <c r="K563" s="293"/>
      <c r="L563" s="293"/>
      <c r="M563" s="293"/>
      <c r="N563" s="293"/>
      <c r="O563" s="293"/>
      <c r="P563" s="293"/>
      <c r="Q563" s="293"/>
      <c r="R563" s="293"/>
      <c r="S563" s="293"/>
      <c r="T563" s="293"/>
      <c r="U563" s="293"/>
      <c r="V563" s="293"/>
      <c r="W563" s="293"/>
      <c r="X563" s="293"/>
      <c r="Y563" s="293"/>
      <c r="Z563" s="293"/>
      <c r="AA563" s="293"/>
      <c r="AB563" s="293"/>
      <c r="AC563" s="293"/>
      <c r="AD563" s="293"/>
    </row>
    <row r="564" spans="1:30" ht="14.25" customHeight="1" x14ac:dyDescent="0.3">
      <c r="A564" s="293"/>
      <c r="B564" s="293"/>
      <c r="C564" s="293"/>
      <c r="D564" s="293"/>
      <c r="E564" s="293"/>
      <c r="F564" s="293"/>
      <c r="G564" s="293"/>
      <c r="H564" s="293"/>
      <c r="I564" s="293"/>
      <c r="J564" s="293"/>
      <c r="K564" s="293"/>
      <c r="L564" s="293"/>
      <c r="M564" s="293"/>
      <c r="N564" s="293"/>
      <c r="O564" s="293"/>
      <c r="P564" s="293"/>
      <c r="Q564" s="293"/>
      <c r="R564" s="293"/>
      <c r="S564" s="293"/>
      <c r="T564" s="293"/>
      <c r="U564" s="293"/>
      <c r="V564" s="293"/>
      <c r="W564" s="293"/>
      <c r="X564" s="293"/>
      <c r="Y564" s="293"/>
      <c r="Z564" s="293"/>
      <c r="AA564" s="293"/>
      <c r="AB564" s="293"/>
      <c r="AC564" s="293"/>
      <c r="AD564" s="293"/>
    </row>
    <row r="565" spans="1:30" ht="14.25" customHeight="1" x14ac:dyDescent="0.3">
      <c r="A565" s="293"/>
      <c r="B565" s="293"/>
      <c r="C565" s="293"/>
      <c r="D565" s="293"/>
      <c r="E565" s="293"/>
      <c r="F565" s="293"/>
      <c r="G565" s="293"/>
      <c r="H565" s="293"/>
      <c r="I565" s="293"/>
      <c r="J565" s="293"/>
      <c r="K565" s="293"/>
      <c r="L565" s="293"/>
      <c r="M565" s="293"/>
      <c r="N565" s="293"/>
      <c r="O565" s="293"/>
      <c r="P565" s="293"/>
      <c r="Q565" s="293"/>
      <c r="R565" s="293"/>
      <c r="S565" s="293"/>
      <c r="T565" s="293"/>
      <c r="U565" s="293"/>
      <c r="V565" s="293"/>
      <c r="W565" s="293"/>
      <c r="X565" s="293"/>
      <c r="Y565" s="293"/>
      <c r="Z565" s="293"/>
      <c r="AA565" s="293"/>
      <c r="AB565" s="293"/>
      <c r="AC565" s="293"/>
      <c r="AD565" s="293"/>
    </row>
    <row r="566" spans="1:30" ht="14.25" customHeight="1" x14ac:dyDescent="0.3">
      <c r="A566" s="293"/>
      <c r="B566" s="293"/>
      <c r="C566" s="293"/>
      <c r="D566" s="293"/>
      <c r="E566" s="293"/>
      <c r="F566" s="293"/>
      <c r="G566" s="293"/>
      <c r="H566" s="293"/>
      <c r="I566" s="293"/>
      <c r="J566" s="293"/>
      <c r="K566" s="293"/>
      <c r="L566" s="293"/>
      <c r="M566" s="293"/>
      <c r="N566" s="293"/>
      <c r="O566" s="293"/>
      <c r="P566" s="293"/>
      <c r="Q566" s="293"/>
      <c r="R566" s="293"/>
      <c r="S566" s="293"/>
      <c r="T566" s="293"/>
      <c r="U566" s="293"/>
      <c r="V566" s="293"/>
      <c r="W566" s="293"/>
      <c r="X566" s="293"/>
      <c r="Y566" s="293"/>
      <c r="Z566" s="293"/>
      <c r="AA566" s="293"/>
      <c r="AB566" s="293"/>
      <c r="AC566" s="293"/>
      <c r="AD566" s="293"/>
    </row>
    <row r="567" spans="1:30" ht="14.25" customHeight="1" x14ac:dyDescent="0.3">
      <c r="A567" s="293"/>
      <c r="B567" s="293"/>
      <c r="C567" s="293"/>
      <c r="D567" s="293"/>
      <c r="E567" s="293"/>
      <c r="F567" s="293"/>
      <c r="G567" s="293"/>
      <c r="H567" s="293"/>
      <c r="I567" s="293"/>
      <c r="J567" s="293"/>
      <c r="K567" s="293"/>
      <c r="L567" s="293"/>
      <c r="M567" s="293"/>
      <c r="N567" s="293"/>
      <c r="O567" s="293"/>
      <c r="P567" s="293"/>
      <c r="Q567" s="293"/>
      <c r="R567" s="293"/>
      <c r="S567" s="293"/>
      <c r="T567" s="293"/>
      <c r="U567" s="293"/>
      <c r="V567" s="293"/>
      <c r="W567" s="293"/>
      <c r="X567" s="293"/>
      <c r="Y567" s="293"/>
      <c r="Z567" s="293"/>
      <c r="AA567" s="293"/>
      <c r="AB567" s="293"/>
      <c r="AC567" s="293"/>
      <c r="AD567" s="293"/>
    </row>
    <row r="568" spans="1:30" ht="14.25" customHeight="1" x14ac:dyDescent="0.3">
      <c r="A568" s="293"/>
      <c r="B568" s="293"/>
      <c r="C568" s="293"/>
      <c r="D568" s="293"/>
      <c r="E568" s="293"/>
      <c r="F568" s="293"/>
      <c r="G568" s="293"/>
      <c r="H568" s="293"/>
      <c r="I568" s="293"/>
      <c r="J568" s="293"/>
      <c r="K568" s="293"/>
      <c r="L568" s="293"/>
      <c r="M568" s="293"/>
      <c r="N568" s="293"/>
      <c r="O568" s="293"/>
      <c r="P568" s="293"/>
      <c r="Q568" s="293"/>
      <c r="R568" s="293"/>
      <c r="S568" s="293"/>
      <c r="T568" s="293"/>
      <c r="U568" s="293"/>
      <c r="V568" s="293"/>
      <c r="W568" s="293"/>
      <c r="X568" s="293"/>
      <c r="Y568" s="293"/>
      <c r="Z568" s="293"/>
      <c r="AA568" s="293"/>
      <c r="AB568" s="293"/>
      <c r="AC568" s="293"/>
      <c r="AD568" s="293"/>
    </row>
    <row r="569" spans="1:30" ht="14.25" customHeight="1" x14ac:dyDescent="0.3">
      <c r="A569" s="293"/>
      <c r="B569" s="293"/>
      <c r="C569" s="293"/>
      <c r="D569" s="293"/>
      <c r="E569" s="293"/>
      <c r="F569" s="293"/>
      <c r="G569" s="293"/>
      <c r="H569" s="293"/>
      <c r="I569" s="293"/>
      <c r="J569" s="293"/>
      <c r="K569" s="293"/>
      <c r="L569" s="293"/>
      <c r="M569" s="293"/>
      <c r="N569" s="293"/>
      <c r="O569" s="293"/>
      <c r="P569" s="293"/>
      <c r="Q569" s="293"/>
      <c r="R569" s="293"/>
      <c r="S569" s="293"/>
      <c r="T569" s="293"/>
      <c r="U569" s="293"/>
      <c r="V569" s="293"/>
      <c r="W569" s="293"/>
      <c r="X569" s="293"/>
      <c r="Y569" s="293"/>
      <c r="Z569" s="293"/>
      <c r="AA569" s="293"/>
      <c r="AB569" s="293"/>
      <c r="AC569" s="293"/>
      <c r="AD569" s="293"/>
    </row>
    <row r="570" spans="1:30" ht="14.25" customHeight="1" x14ac:dyDescent="0.3">
      <c r="A570" s="293"/>
      <c r="B570" s="293"/>
      <c r="C570" s="293"/>
      <c r="D570" s="293"/>
      <c r="E570" s="293"/>
      <c r="F570" s="293"/>
      <c r="G570" s="293"/>
      <c r="H570" s="293"/>
      <c r="I570" s="293"/>
      <c r="J570" s="293"/>
      <c r="K570" s="293"/>
      <c r="L570" s="293"/>
      <c r="M570" s="293"/>
      <c r="N570" s="293"/>
      <c r="O570" s="293"/>
      <c r="P570" s="293"/>
      <c r="Q570" s="293"/>
      <c r="R570" s="293"/>
      <c r="S570" s="293"/>
      <c r="T570" s="293"/>
      <c r="U570" s="293"/>
      <c r="V570" s="293"/>
      <c r="W570" s="293"/>
      <c r="X570" s="293"/>
      <c r="Y570" s="293"/>
      <c r="Z570" s="293"/>
      <c r="AA570" s="293"/>
      <c r="AB570" s="293"/>
      <c r="AC570" s="293"/>
      <c r="AD570" s="293"/>
    </row>
    <row r="571" spans="1:30" ht="14.25" customHeight="1" x14ac:dyDescent="0.3">
      <c r="A571" s="293"/>
      <c r="B571" s="293"/>
      <c r="C571" s="293"/>
      <c r="D571" s="293"/>
      <c r="E571" s="293"/>
      <c r="F571" s="293"/>
      <c r="G571" s="293"/>
      <c r="H571" s="293"/>
      <c r="I571" s="293"/>
      <c r="J571" s="293"/>
      <c r="K571" s="293"/>
      <c r="L571" s="293"/>
      <c r="M571" s="293"/>
      <c r="N571" s="293"/>
      <c r="O571" s="293"/>
      <c r="P571" s="293"/>
      <c r="Q571" s="293"/>
      <c r="R571" s="293"/>
      <c r="S571" s="293"/>
      <c r="T571" s="293"/>
      <c r="U571" s="293"/>
      <c r="V571" s="293"/>
      <c r="W571" s="293"/>
      <c r="X571" s="293"/>
      <c r="Y571" s="293"/>
      <c r="Z571" s="293"/>
      <c r="AA571" s="293"/>
      <c r="AB571" s="293"/>
      <c r="AC571" s="293"/>
      <c r="AD571" s="293"/>
    </row>
    <row r="572" spans="1:30" ht="14.25" customHeight="1" x14ac:dyDescent="0.3">
      <c r="A572" s="293"/>
      <c r="B572" s="293"/>
      <c r="C572" s="293"/>
      <c r="D572" s="293"/>
      <c r="E572" s="293"/>
      <c r="F572" s="293"/>
      <c r="G572" s="293"/>
      <c r="H572" s="293"/>
      <c r="I572" s="293"/>
      <c r="J572" s="293"/>
      <c r="K572" s="293"/>
      <c r="L572" s="293"/>
      <c r="M572" s="293"/>
      <c r="N572" s="293"/>
      <c r="O572" s="293"/>
      <c r="P572" s="293"/>
      <c r="Q572" s="293"/>
      <c r="R572" s="293"/>
      <c r="S572" s="293"/>
      <c r="T572" s="293"/>
      <c r="U572" s="293"/>
      <c r="V572" s="293"/>
      <c r="W572" s="293"/>
      <c r="X572" s="293"/>
      <c r="Y572" s="293"/>
      <c r="Z572" s="293"/>
      <c r="AA572" s="293"/>
      <c r="AB572" s="293"/>
      <c r="AC572" s="293"/>
      <c r="AD572" s="293"/>
    </row>
    <row r="573" spans="1:30" ht="14.25" customHeight="1" x14ac:dyDescent="0.3">
      <c r="A573" s="293"/>
      <c r="B573" s="293"/>
      <c r="C573" s="293"/>
      <c r="D573" s="293"/>
      <c r="E573" s="293"/>
      <c r="F573" s="293"/>
      <c r="G573" s="293"/>
      <c r="H573" s="293"/>
      <c r="I573" s="293"/>
      <c r="J573" s="293"/>
      <c r="K573" s="293"/>
      <c r="L573" s="293"/>
      <c r="M573" s="293"/>
      <c r="N573" s="293"/>
      <c r="O573" s="293"/>
      <c r="P573" s="293"/>
      <c r="Q573" s="293"/>
      <c r="R573" s="293"/>
      <c r="S573" s="293"/>
      <c r="T573" s="293"/>
      <c r="U573" s="293"/>
      <c r="V573" s="293"/>
      <c r="W573" s="293"/>
      <c r="X573" s="293"/>
      <c r="Y573" s="293"/>
      <c r="Z573" s="293"/>
      <c r="AA573" s="293"/>
      <c r="AB573" s="293"/>
      <c r="AC573" s="293"/>
      <c r="AD573" s="293"/>
    </row>
    <row r="574" spans="1:30" ht="14.25" customHeight="1" x14ac:dyDescent="0.3">
      <c r="A574" s="293"/>
      <c r="B574" s="293"/>
      <c r="C574" s="293"/>
      <c r="D574" s="293"/>
      <c r="E574" s="293"/>
      <c r="F574" s="293"/>
      <c r="G574" s="293"/>
      <c r="H574" s="293"/>
      <c r="I574" s="293"/>
      <c r="J574" s="293"/>
      <c r="K574" s="293"/>
      <c r="L574" s="293"/>
      <c r="M574" s="293"/>
      <c r="N574" s="293"/>
      <c r="O574" s="293"/>
      <c r="P574" s="293"/>
      <c r="Q574" s="293"/>
      <c r="R574" s="293"/>
      <c r="S574" s="293"/>
      <c r="T574" s="293"/>
      <c r="U574" s="293"/>
      <c r="V574" s="293"/>
      <c r="W574" s="293"/>
      <c r="X574" s="293"/>
      <c r="Y574" s="293"/>
      <c r="Z574" s="293"/>
      <c r="AA574" s="293"/>
      <c r="AB574" s="293"/>
      <c r="AC574" s="293"/>
      <c r="AD574" s="293"/>
    </row>
    <row r="575" spans="1:30" ht="14.25" customHeight="1" x14ac:dyDescent="0.3">
      <c r="A575" s="293"/>
      <c r="B575" s="293"/>
      <c r="C575" s="293"/>
      <c r="D575" s="293"/>
      <c r="E575" s="293"/>
      <c r="F575" s="293"/>
      <c r="G575" s="293"/>
      <c r="H575" s="293"/>
      <c r="I575" s="293"/>
      <c r="J575" s="293"/>
      <c r="K575" s="293"/>
      <c r="L575" s="293"/>
      <c r="M575" s="293"/>
      <c r="N575" s="293"/>
      <c r="O575" s="293"/>
      <c r="P575" s="293"/>
      <c r="Q575" s="293"/>
      <c r="R575" s="293"/>
      <c r="S575" s="293"/>
      <c r="T575" s="293"/>
      <c r="U575" s="293"/>
      <c r="V575" s="293"/>
      <c r="W575" s="293"/>
      <c r="X575" s="293"/>
      <c r="Y575" s="293"/>
      <c r="Z575" s="293"/>
      <c r="AA575" s="293"/>
      <c r="AB575" s="293"/>
      <c r="AC575" s="293"/>
      <c r="AD575" s="293"/>
    </row>
    <row r="576" spans="1:30" ht="14.25" customHeight="1" x14ac:dyDescent="0.3">
      <c r="A576" s="293"/>
      <c r="B576" s="293"/>
      <c r="C576" s="293"/>
      <c r="D576" s="293"/>
      <c r="E576" s="293"/>
      <c r="F576" s="293"/>
      <c r="G576" s="293"/>
      <c r="H576" s="293"/>
      <c r="I576" s="293"/>
      <c r="J576" s="293"/>
      <c r="K576" s="293"/>
      <c r="L576" s="293"/>
      <c r="M576" s="293"/>
      <c r="N576" s="293"/>
      <c r="O576" s="293"/>
      <c r="P576" s="293"/>
      <c r="Q576" s="293"/>
      <c r="R576" s="293"/>
      <c r="S576" s="293"/>
      <c r="T576" s="293"/>
      <c r="U576" s="293"/>
      <c r="V576" s="293"/>
      <c r="W576" s="293"/>
      <c r="X576" s="293"/>
      <c r="Y576" s="293"/>
      <c r="Z576" s="293"/>
      <c r="AA576" s="293"/>
      <c r="AB576" s="293"/>
      <c r="AC576" s="293"/>
      <c r="AD576" s="293"/>
    </row>
    <row r="577" spans="1:30" ht="14.25" customHeight="1" x14ac:dyDescent="0.3">
      <c r="A577" s="293"/>
      <c r="B577" s="293"/>
      <c r="C577" s="293"/>
      <c r="D577" s="293"/>
      <c r="E577" s="293"/>
      <c r="F577" s="293"/>
      <c r="G577" s="293"/>
      <c r="H577" s="293"/>
      <c r="I577" s="293"/>
      <c r="J577" s="293"/>
      <c r="K577" s="293"/>
      <c r="L577" s="293"/>
      <c r="M577" s="293"/>
      <c r="N577" s="293"/>
      <c r="O577" s="293"/>
      <c r="P577" s="293"/>
      <c r="Q577" s="293"/>
      <c r="R577" s="293"/>
      <c r="S577" s="293"/>
      <c r="T577" s="293"/>
      <c r="U577" s="293"/>
      <c r="V577" s="293"/>
      <c r="W577" s="293"/>
      <c r="X577" s="293"/>
      <c r="Y577" s="293"/>
      <c r="Z577" s="293"/>
      <c r="AA577" s="293"/>
      <c r="AB577" s="293"/>
      <c r="AC577" s="293"/>
      <c r="AD577" s="293"/>
    </row>
    <row r="578" spans="1:30" ht="14.25" customHeight="1" x14ac:dyDescent="0.3">
      <c r="A578" s="293"/>
      <c r="B578" s="293"/>
      <c r="C578" s="293"/>
      <c r="D578" s="293"/>
      <c r="E578" s="293"/>
      <c r="F578" s="293"/>
      <c r="G578" s="293"/>
      <c r="H578" s="293"/>
      <c r="I578" s="293"/>
      <c r="J578" s="293"/>
      <c r="K578" s="293"/>
      <c r="L578" s="293"/>
      <c r="M578" s="293"/>
      <c r="N578" s="293"/>
      <c r="O578" s="293"/>
      <c r="P578" s="293"/>
      <c r="Q578" s="293"/>
      <c r="R578" s="293"/>
      <c r="S578" s="293"/>
      <c r="T578" s="293"/>
      <c r="U578" s="293"/>
      <c r="V578" s="293"/>
      <c r="W578" s="293"/>
      <c r="X578" s="293"/>
      <c r="Y578" s="293"/>
      <c r="Z578" s="293"/>
      <c r="AA578" s="293"/>
      <c r="AB578" s="293"/>
      <c r="AC578" s="293"/>
      <c r="AD578" s="293"/>
    </row>
    <row r="579" spans="1:30" ht="14.25" customHeight="1" x14ac:dyDescent="0.3">
      <c r="A579" s="293"/>
      <c r="B579" s="293"/>
      <c r="C579" s="293"/>
      <c r="D579" s="293"/>
      <c r="E579" s="293"/>
      <c r="F579" s="293"/>
      <c r="G579" s="293"/>
      <c r="H579" s="293"/>
      <c r="I579" s="293"/>
      <c r="J579" s="293"/>
      <c r="K579" s="293"/>
      <c r="L579" s="293"/>
      <c r="M579" s="293"/>
      <c r="N579" s="293"/>
      <c r="O579" s="293"/>
      <c r="P579" s="293"/>
      <c r="Q579" s="293"/>
      <c r="R579" s="293"/>
      <c r="S579" s="293"/>
      <c r="T579" s="293"/>
      <c r="U579" s="293"/>
      <c r="V579" s="293"/>
      <c r="W579" s="293"/>
      <c r="X579" s="293"/>
      <c r="Y579" s="293"/>
      <c r="Z579" s="293"/>
      <c r="AA579" s="293"/>
      <c r="AB579" s="293"/>
      <c r="AC579" s="293"/>
      <c r="AD579" s="293"/>
    </row>
    <row r="580" spans="1:30" ht="14.25" customHeight="1" x14ac:dyDescent="0.3">
      <c r="A580" s="293"/>
      <c r="B580" s="293"/>
      <c r="C580" s="293"/>
      <c r="D580" s="293"/>
      <c r="E580" s="293"/>
      <c r="F580" s="293"/>
      <c r="G580" s="293"/>
      <c r="H580" s="293"/>
      <c r="I580" s="293"/>
      <c r="J580" s="293"/>
      <c r="K580" s="293"/>
      <c r="L580" s="293"/>
      <c r="M580" s="293"/>
      <c r="N580" s="293"/>
      <c r="O580" s="293"/>
      <c r="P580" s="293"/>
      <c r="Q580" s="293"/>
      <c r="R580" s="293"/>
      <c r="S580" s="293"/>
      <c r="T580" s="293"/>
      <c r="U580" s="293"/>
      <c r="V580" s="293"/>
      <c r="W580" s="293"/>
      <c r="X580" s="293"/>
      <c r="Y580" s="293"/>
      <c r="Z580" s="293"/>
      <c r="AA580" s="293"/>
      <c r="AB580" s="293"/>
      <c r="AC580" s="293"/>
      <c r="AD580" s="293"/>
    </row>
    <row r="581" spans="1:30" ht="14.25" customHeight="1" x14ac:dyDescent="0.3">
      <c r="A581" s="293"/>
      <c r="B581" s="293"/>
      <c r="C581" s="293"/>
      <c r="D581" s="293"/>
      <c r="E581" s="293"/>
      <c r="F581" s="293"/>
      <c r="G581" s="293"/>
      <c r="H581" s="293"/>
      <c r="I581" s="293"/>
      <c r="J581" s="293"/>
      <c r="K581" s="293"/>
      <c r="L581" s="293"/>
      <c r="M581" s="293"/>
      <c r="N581" s="293"/>
      <c r="O581" s="293"/>
      <c r="P581" s="293"/>
      <c r="Q581" s="293"/>
      <c r="R581" s="293"/>
      <c r="S581" s="293"/>
      <c r="T581" s="293"/>
      <c r="U581" s="293"/>
      <c r="V581" s="293"/>
      <c r="W581" s="293"/>
      <c r="X581" s="293"/>
      <c r="Y581" s="293"/>
      <c r="Z581" s="293"/>
      <c r="AA581" s="293"/>
      <c r="AB581" s="293"/>
      <c r="AC581" s="293"/>
      <c r="AD581" s="293"/>
    </row>
    <row r="582" spans="1:30" ht="14.25" customHeight="1" x14ac:dyDescent="0.3">
      <c r="A582" s="293"/>
      <c r="B582" s="293"/>
      <c r="C582" s="293"/>
      <c r="D582" s="293"/>
      <c r="E582" s="293"/>
      <c r="F582" s="293"/>
      <c r="G582" s="293"/>
      <c r="H582" s="293"/>
      <c r="I582" s="293"/>
      <c r="J582" s="293"/>
      <c r="K582" s="293"/>
      <c r="L582" s="293"/>
      <c r="M582" s="293"/>
      <c r="N582" s="293"/>
      <c r="O582" s="293"/>
      <c r="P582" s="293"/>
      <c r="Q582" s="293"/>
      <c r="R582" s="293"/>
      <c r="S582" s="293"/>
      <c r="T582" s="293"/>
      <c r="U582" s="293"/>
      <c r="V582" s="293"/>
      <c r="W582" s="293"/>
      <c r="X582" s="293"/>
      <c r="Y582" s="293"/>
      <c r="Z582" s="293"/>
      <c r="AA582" s="293"/>
      <c r="AB582" s="293"/>
      <c r="AC582" s="293"/>
      <c r="AD582" s="293"/>
    </row>
    <row r="583" spans="1:30" ht="14.25" customHeight="1" x14ac:dyDescent="0.3">
      <c r="A583" s="293"/>
      <c r="B583" s="293"/>
      <c r="C583" s="293"/>
      <c r="D583" s="293"/>
      <c r="E583" s="293"/>
      <c r="F583" s="293"/>
      <c r="G583" s="293"/>
      <c r="H583" s="293"/>
      <c r="I583" s="293"/>
      <c r="J583" s="293"/>
      <c r="K583" s="293"/>
      <c r="L583" s="293"/>
      <c r="M583" s="293"/>
      <c r="N583" s="293"/>
      <c r="O583" s="293"/>
      <c r="P583" s="293"/>
      <c r="Q583" s="293"/>
      <c r="R583" s="293"/>
      <c r="S583" s="293"/>
      <c r="T583" s="293"/>
      <c r="U583" s="293"/>
      <c r="V583" s="293"/>
      <c r="W583" s="293"/>
      <c r="X583" s="293"/>
      <c r="Y583" s="293"/>
      <c r="Z583" s="293"/>
      <c r="AA583" s="293"/>
      <c r="AB583" s="293"/>
      <c r="AC583" s="293"/>
      <c r="AD583" s="293"/>
    </row>
    <row r="584" spans="1:30" ht="14.25" customHeight="1" x14ac:dyDescent="0.3">
      <c r="A584" s="293"/>
      <c r="B584" s="293"/>
      <c r="C584" s="293"/>
      <c r="D584" s="293"/>
      <c r="E584" s="293"/>
      <c r="F584" s="293"/>
      <c r="G584" s="293"/>
      <c r="H584" s="293"/>
      <c r="I584" s="293"/>
      <c r="J584" s="293"/>
      <c r="K584" s="293"/>
      <c r="L584" s="293"/>
      <c r="M584" s="293"/>
      <c r="N584" s="293"/>
      <c r="O584" s="293"/>
      <c r="P584" s="293"/>
      <c r="Q584" s="293"/>
      <c r="R584" s="293"/>
      <c r="S584" s="293"/>
      <c r="T584" s="293"/>
      <c r="U584" s="293"/>
      <c r="V584" s="293"/>
      <c r="W584" s="293"/>
      <c r="X584" s="293"/>
      <c r="Y584" s="293"/>
      <c r="Z584" s="293"/>
      <c r="AA584" s="293"/>
      <c r="AB584" s="293"/>
      <c r="AC584" s="293"/>
      <c r="AD584" s="293"/>
    </row>
    <row r="585" spans="1:30" ht="14.25" customHeight="1" x14ac:dyDescent="0.3">
      <c r="A585" s="293"/>
      <c r="B585" s="293"/>
      <c r="C585" s="293"/>
      <c r="D585" s="293"/>
      <c r="E585" s="293"/>
      <c r="F585" s="293"/>
      <c r="G585" s="293"/>
      <c r="H585" s="293"/>
      <c r="I585" s="293"/>
      <c r="J585" s="293"/>
      <c r="K585" s="293"/>
      <c r="L585" s="293"/>
      <c r="M585" s="293"/>
      <c r="N585" s="293"/>
      <c r="O585" s="293"/>
      <c r="P585" s="293"/>
      <c r="Q585" s="293"/>
      <c r="R585" s="293"/>
      <c r="S585" s="293"/>
      <c r="T585" s="293"/>
      <c r="U585" s="293"/>
      <c r="V585" s="293"/>
      <c r="W585" s="293"/>
      <c r="X585" s="293"/>
      <c r="Y585" s="293"/>
      <c r="Z585" s="293"/>
      <c r="AA585" s="293"/>
      <c r="AB585" s="293"/>
      <c r="AC585" s="293"/>
      <c r="AD585" s="293"/>
    </row>
    <row r="586" spans="1:30" ht="14.25" customHeight="1" x14ac:dyDescent="0.3">
      <c r="A586" s="293"/>
      <c r="B586" s="293"/>
      <c r="C586" s="293"/>
      <c r="D586" s="293"/>
      <c r="E586" s="293"/>
      <c r="F586" s="293"/>
      <c r="G586" s="293"/>
      <c r="H586" s="293"/>
      <c r="I586" s="293"/>
      <c r="J586" s="293"/>
      <c r="K586" s="293"/>
      <c r="L586" s="293"/>
      <c r="M586" s="293"/>
      <c r="N586" s="293"/>
      <c r="O586" s="293"/>
      <c r="P586" s="293"/>
      <c r="Q586" s="293"/>
      <c r="R586" s="293"/>
      <c r="S586" s="293"/>
      <c r="T586" s="293"/>
      <c r="U586" s="293"/>
      <c r="V586" s="293"/>
      <c r="W586" s="293"/>
      <c r="X586" s="293"/>
      <c r="Y586" s="293"/>
      <c r="Z586" s="293"/>
      <c r="AA586" s="293"/>
      <c r="AB586" s="293"/>
      <c r="AC586" s="293"/>
      <c r="AD586" s="293"/>
    </row>
    <row r="587" spans="1:30" ht="14.25" customHeight="1" x14ac:dyDescent="0.3">
      <c r="A587" s="293"/>
      <c r="B587" s="293"/>
      <c r="C587" s="293"/>
      <c r="D587" s="293"/>
      <c r="E587" s="293"/>
      <c r="F587" s="293"/>
      <c r="G587" s="293"/>
      <c r="H587" s="293"/>
      <c r="I587" s="293"/>
      <c r="J587" s="293"/>
      <c r="K587" s="293"/>
      <c r="L587" s="293"/>
      <c r="M587" s="293"/>
      <c r="N587" s="293"/>
      <c r="O587" s="293"/>
      <c r="P587" s="293"/>
      <c r="Q587" s="293"/>
      <c r="R587" s="293"/>
      <c r="S587" s="293"/>
      <c r="T587" s="293"/>
      <c r="U587" s="293"/>
      <c r="V587" s="293"/>
      <c r="W587" s="293"/>
      <c r="X587" s="293"/>
      <c r="Y587" s="293"/>
      <c r="Z587" s="293"/>
      <c r="AA587" s="293"/>
      <c r="AB587" s="293"/>
      <c r="AC587" s="293"/>
      <c r="AD587" s="293"/>
    </row>
    <row r="588" spans="1:30" ht="14.25" customHeight="1" x14ac:dyDescent="0.3">
      <c r="A588" s="293"/>
      <c r="B588" s="293"/>
      <c r="C588" s="293"/>
      <c r="D588" s="293"/>
      <c r="E588" s="293"/>
      <c r="F588" s="293"/>
      <c r="G588" s="293"/>
      <c r="H588" s="293"/>
      <c r="I588" s="293"/>
      <c r="J588" s="293"/>
      <c r="K588" s="293"/>
      <c r="L588" s="293"/>
      <c r="M588" s="293"/>
      <c r="N588" s="293"/>
      <c r="O588" s="293"/>
      <c r="P588" s="293"/>
      <c r="Q588" s="293"/>
      <c r="R588" s="293"/>
      <c r="S588" s="293"/>
      <c r="T588" s="293"/>
      <c r="U588" s="293"/>
      <c r="V588" s="293"/>
      <c r="W588" s="293"/>
      <c r="X588" s="293"/>
      <c r="Y588" s="293"/>
      <c r="Z588" s="293"/>
      <c r="AA588" s="293"/>
      <c r="AB588" s="293"/>
      <c r="AC588" s="293"/>
      <c r="AD588" s="293"/>
    </row>
    <row r="589" spans="1:30" ht="14.25" customHeight="1" x14ac:dyDescent="0.3">
      <c r="A589" s="293"/>
      <c r="B589" s="293"/>
      <c r="C589" s="293"/>
      <c r="D589" s="293"/>
      <c r="E589" s="293"/>
      <c r="F589" s="293"/>
      <c r="G589" s="293"/>
      <c r="H589" s="293"/>
      <c r="I589" s="293"/>
      <c r="J589" s="293"/>
      <c r="K589" s="293"/>
      <c r="L589" s="293"/>
      <c r="M589" s="293"/>
      <c r="N589" s="293"/>
      <c r="O589" s="293"/>
      <c r="P589" s="293"/>
      <c r="Q589" s="293"/>
      <c r="R589" s="293"/>
      <c r="S589" s="293"/>
      <c r="T589" s="293"/>
      <c r="U589" s="293"/>
      <c r="V589" s="293"/>
      <c r="W589" s="293"/>
      <c r="X589" s="293"/>
      <c r="Y589" s="293"/>
      <c r="Z589" s="293"/>
      <c r="AA589" s="293"/>
      <c r="AB589" s="293"/>
      <c r="AC589" s="293"/>
      <c r="AD589" s="293"/>
    </row>
    <row r="590" spans="1:30" ht="14.25" customHeight="1" x14ac:dyDescent="0.3">
      <c r="A590" s="293"/>
      <c r="B590" s="293"/>
      <c r="C590" s="293"/>
      <c r="D590" s="293"/>
      <c r="E590" s="293"/>
      <c r="F590" s="293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293"/>
      <c r="V590" s="293"/>
      <c r="W590" s="293"/>
      <c r="X590" s="293"/>
      <c r="Y590" s="293"/>
      <c r="Z590" s="293"/>
      <c r="AA590" s="293"/>
      <c r="AB590" s="293"/>
      <c r="AC590" s="293"/>
      <c r="AD590" s="293"/>
    </row>
    <row r="591" spans="1:30" ht="14.25" customHeight="1" x14ac:dyDescent="0.3">
      <c r="A591" s="293"/>
      <c r="B591" s="293"/>
      <c r="C591" s="293"/>
      <c r="D591" s="293"/>
      <c r="E591" s="293"/>
      <c r="F591" s="293"/>
      <c r="G591" s="293"/>
      <c r="H591" s="293"/>
      <c r="I591" s="293"/>
      <c r="J591" s="293"/>
      <c r="K591" s="293"/>
      <c r="L591" s="293"/>
      <c r="M591" s="293"/>
      <c r="N591" s="293"/>
      <c r="O591" s="293"/>
      <c r="P591" s="293"/>
      <c r="Q591" s="293"/>
      <c r="R591" s="293"/>
      <c r="S591" s="293"/>
      <c r="T591" s="293"/>
      <c r="U591" s="293"/>
      <c r="V591" s="293"/>
      <c r="W591" s="293"/>
      <c r="X591" s="293"/>
      <c r="Y591" s="293"/>
      <c r="Z591" s="293"/>
      <c r="AA591" s="293"/>
      <c r="AB591" s="293"/>
      <c r="AC591" s="293"/>
      <c r="AD591" s="293"/>
    </row>
    <row r="592" spans="1:30" ht="14.25" customHeight="1" x14ac:dyDescent="0.3">
      <c r="A592" s="293"/>
      <c r="B592" s="293"/>
      <c r="C592" s="293"/>
      <c r="D592" s="293"/>
      <c r="E592" s="293"/>
      <c r="F592" s="293"/>
      <c r="G592" s="293"/>
      <c r="H592" s="293"/>
      <c r="I592" s="293"/>
      <c r="J592" s="293"/>
      <c r="K592" s="293"/>
      <c r="L592" s="293"/>
      <c r="M592" s="293"/>
      <c r="N592" s="293"/>
      <c r="O592" s="293"/>
      <c r="P592" s="293"/>
      <c r="Q592" s="293"/>
      <c r="R592" s="293"/>
      <c r="S592" s="293"/>
      <c r="T592" s="293"/>
      <c r="U592" s="293"/>
      <c r="V592" s="293"/>
      <c r="W592" s="293"/>
      <c r="X592" s="293"/>
      <c r="Y592" s="293"/>
      <c r="Z592" s="293"/>
      <c r="AA592" s="293"/>
      <c r="AB592" s="293"/>
      <c r="AC592" s="293"/>
      <c r="AD592" s="293"/>
    </row>
    <row r="593" spans="1:30" ht="14.25" customHeight="1" x14ac:dyDescent="0.3">
      <c r="A593" s="293"/>
      <c r="B593" s="293"/>
      <c r="C593" s="293"/>
      <c r="D593" s="293"/>
      <c r="E593" s="293"/>
      <c r="F593" s="293"/>
      <c r="G593" s="293"/>
      <c r="H593" s="293"/>
      <c r="I593" s="293"/>
      <c r="J593" s="293"/>
      <c r="K593" s="293"/>
      <c r="L593" s="293"/>
      <c r="M593" s="293"/>
      <c r="N593" s="293"/>
      <c r="O593" s="293"/>
      <c r="P593" s="293"/>
      <c r="Q593" s="293"/>
      <c r="R593" s="293"/>
      <c r="S593" s="293"/>
      <c r="T593" s="293"/>
      <c r="U593" s="293"/>
      <c r="V593" s="293"/>
      <c r="W593" s="293"/>
      <c r="X593" s="293"/>
      <c r="Y593" s="293"/>
      <c r="Z593" s="293"/>
      <c r="AA593" s="293"/>
      <c r="AB593" s="293"/>
      <c r="AC593" s="293"/>
      <c r="AD593" s="293"/>
    </row>
    <row r="594" spans="1:30" ht="14.25" customHeight="1" x14ac:dyDescent="0.3">
      <c r="A594" s="293"/>
      <c r="B594" s="293"/>
      <c r="C594" s="293"/>
      <c r="D594" s="293"/>
      <c r="E594" s="293"/>
      <c r="F594" s="293"/>
      <c r="G594" s="293"/>
      <c r="H594" s="293"/>
      <c r="I594" s="293"/>
      <c r="J594" s="293"/>
      <c r="K594" s="293"/>
      <c r="L594" s="293"/>
      <c r="M594" s="293"/>
      <c r="N594" s="293"/>
      <c r="O594" s="293"/>
      <c r="P594" s="293"/>
      <c r="Q594" s="293"/>
      <c r="R594" s="293"/>
      <c r="S594" s="293"/>
      <c r="T594" s="293"/>
      <c r="U594" s="293"/>
      <c r="V594" s="293"/>
      <c r="W594" s="293"/>
      <c r="X594" s="293"/>
      <c r="Y594" s="293"/>
      <c r="Z594" s="293"/>
      <c r="AA594" s="293"/>
      <c r="AB594" s="293"/>
      <c r="AC594" s="293"/>
      <c r="AD594" s="293"/>
    </row>
    <row r="595" spans="1:30" ht="14.25" customHeight="1" x14ac:dyDescent="0.3">
      <c r="A595" s="293"/>
      <c r="B595" s="293"/>
      <c r="C595" s="293"/>
      <c r="D595" s="293"/>
      <c r="E595" s="293"/>
      <c r="F595" s="293"/>
      <c r="G595" s="293"/>
      <c r="H595" s="293"/>
      <c r="I595" s="293"/>
      <c r="J595" s="293"/>
      <c r="K595" s="293"/>
      <c r="L595" s="293"/>
      <c r="M595" s="293"/>
      <c r="N595" s="293"/>
      <c r="O595" s="293"/>
      <c r="P595" s="293"/>
      <c r="Q595" s="293"/>
      <c r="R595" s="293"/>
      <c r="S595" s="293"/>
      <c r="T595" s="293"/>
      <c r="U595" s="293"/>
      <c r="V595" s="293"/>
      <c r="W595" s="293"/>
      <c r="X595" s="293"/>
      <c r="Y595" s="293"/>
      <c r="Z595" s="293"/>
      <c r="AA595" s="293"/>
      <c r="AB595" s="293"/>
      <c r="AC595" s="293"/>
      <c r="AD595" s="293"/>
    </row>
    <row r="596" spans="1:30" ht="14.25" customHeight="1" x14ac:dyDescent="0.3">
      <c r="A596" s="293"/>
      <c r="B596" s="293"/>
      <c r="C596" s="293"/>
      <c r="D596" s="293"/>
      <c r="E596" s="293"/>
      <c r="F596" s="293"/>
      <c r="G596" s="293"/>
      <c r="H596" s="293"/>
      <c r="I596" s="293"/>
      <c r="J596" s="293"/>
      <c r="K596" s="293"/>
      <c r="L596" s="293"/>
      <c r="M596" s="293"/>
      <c r="N596" s="293"/>
      <c r="O596" s="293"/>
      <c r="P596" s="293"/>
      <c r="Q596" s="293"/>
      <c r="R596" s="293"/>
      <c r="S596" s="293"/>
      <c r="T596" s="293"/>
      <c r="U596" s="293"/>
      <c r="V596" s="293"/>
      <c r="W596" s="293"/>
      <c r="X596" s="293"/>
      <c r="Y596" s="293"/>
      <c r="Z596" s="293"/>
      <c r="AA596" s="293"/>
      <c r="AB596" s="293"/>
      <c r="AC596" s="293"/>
      <c r="AD596" s="293"/>
    </row>
    <row r="597" spans="1:30" ht="14.25" customHeight="1" x14ac:dyDescent="0.3">
      <c r="A597" s="293"/>
      <c r="B597" s="293"/>
      <c r="C597" s="293"/>
      <c r="D597" s="293"/>
      <c r="E597" s="293"/>
      <c r="F597" s="293"/>
      <c r="G597" s="293"/>
      <c r="H597" s="293"/>
      <c r="I597" s="293"/>
      <c r="J597" s="293"/>
      <c r="K597" s="293"/>
      <c r="L597" s="293"/>
      <c r="M597" s="293"/>
      <c r="N597" s="293"/>
      <c r="O597" s="293"/>
      <c r="P597" s="293"/>
      <c r="Q597" s="293"/>
      <c r="R597" s="293"/>
      <c r="S597" s="293"/>
      <c r="T597" s="293"/>
      <c r="U597" s="293"/>
      <c r="V597" s="293"/>
      <c r="W597" s="293"/>
      <c r="X597" s="293"/>
      <c r="Y597" s="293"/>
      <c r="Z597" s="293"/>
      <c r="AA597" s="293"/>
      <c r="AB597" s="293"/>
      <c r="AC597" s="293"/>
      <c r="AD597" s="293"/>
    </row>
    <row r="598" spans="1:30" ht="14.25" customHeight="1" x14ac:dyDescent="0.3">
      <c r="A598" s="293"/>
      <c r="B598" s="293"/>
      <c r="C598" s="293"/>
      <c r="D598" s="293"/>
      <c r="E598" s="293"/>
      <c r="F598" s="293"/>
      <c r="G598" s="293"/>
      <c r="H598" s="293"/>
      <c r="I598" s="293"/>
      <c r="J598" s="293"/>
      <c r="K598" s="293"/>
      <c r="L598" s="293"/>
      <c r="M598" s="293"/>
      <c r="N598" s="293"/>
      <c r="O598" s="293"/>
      <c r="P598" s="293"/>
      <c r="Q598" s="293"/>
      <c r="R598" s="293"/>
      <c r="S598" s="293"/>
      <c r="T598" s="293"/>
      <c r="U598" s="293"/>
      <c r="V598" s="293"/>
      <c r="W598" s="293"/>
      <c r="X598" s="293"/>
      <c r="Y598" s="293"/>
      <c r="Z598" s="293"/>
      <c r="AA598" s="293"/>
      <c r="AB598" s="293"/>
      <c r="AC598" s="293"/>
      <c r="AD598" s="293"/>
    </row>
    <row r="599" spans="1:30" ht="14.25" customHeight="1" x14ac:dyDescent="0.3">
      <c r="A599" s="293"/>
      <c r="B599" s="293"/>
      <c r="C599" s="293"/>
      <c r="D599" s="293"/>
      <c r="E599" s="293"/>
      <c r="F599" s="293"/>
      <c r="G599" s="293"/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93"/>
      <c r="V599" s="293"/>
      <c r="W599" s="293"/>
      <c r="X599" s="293"/>
      <c r="Y599" s="293"/>
      <c r="Z599" s="293"/>
      <c r="AA599" s="293"/>
      <c r="AB599" s="293"/>
      <c r="AC599" s="293"/>
      <c r="AD599" s="293"/>
    </row>
    <row r="600" spans="1:30" ht="14.25" customHeight="1" x14ac:dyDescent="0.3">
      <c r="A600" s="293"/>
      <c r="B600" s="293"/>
      <c r="C600" s="293"/>
      <c r="D600" s="293"/>
      <c r="E600" s="293"/>
      <c r="F600" s="293"/>
      <c r="G600" s="293"/>
      <c r="H600" s="293"/>
      <c r="I600" s="293"/>
      <c r="J600" s="293"/>
      <c r="K600" s="293"/>
      <c r="L600" s="293"/>
      <c r="M600" s="293"/>
      <c r="N600" s="293"/>
      <c r="O600" s="293"/>
      <c r="P600" s="293"/>
      <c r="Q600" s="293"/>
      <c r="R600" s="293"/>
      <c r="S600" s="293"/>
      <c r="T600" s="293"/>
      <c r="U600" s="293"/>
      <c r="V600" s="293"/>
      <c r="W600" s="293"/>
      <c r="X600" s="293"/>
      <c r="Y600" s="293"/>
      <c r="Z600" s="293"/>
      <c r="AA600" s="293"/>
      <c r="AB600" s="293"/>
      <c r="AC600" s="293"/>
      <c r="AD600" s="293"/>
    </row>
    <row r="601" spans="1:30" ht="14.25" customHeight="1" x14ac:dyDescent="0.3">
      <c r="A601" s="293"/>
      <c r="B601" s="293"/>
      <c r="C601" s="293"/>
      <c r="D601" s="293"/>
      <c r="E601" s="293"/>
      <c r="F601" s="293"/>
      <c r="G601" s="293"/>
      <c r="H601" s="293"/>
      <c r="I601" s="293"/>
      <c r="J601" s="293"/>
      <c r="K601" s="293"/>
      <c r="L601" s="293"/>
      <c r="M601" s="293"/>
      <c r="N601" s="293"/>
      <c r="O601" s="293"/>
      <c r="P601" s="293"/>
      <c r="Q601" s="293"/>
      <c r="R601" s="293"/>
      <c r="S601" s="293"/>
      <c r="T601" s="293"/>
      <c r="U601" s="293"/>
      <c r="V601" s="293"/>
      <c r="W601" s="293"/>
      <c r="X601" s="293"/>
      <c r="Y601" s="293"/>
      <c r="Z601" s="293"/>
      <c r="AA601" s="293"/>
      <c r="AB601" s="293"/>
      <c r="AC601" s="293"/>
      <c r="AD601" s="293"/>
    </row>
    <row r="602" spans="1:30" ht="14.25" customHeight="1" x14ac:dyDescent="0.3">
      <c r="A602" s="293"/>
      <c r="B602" s="293"/>
      <c r="C602" s="293"/>
      <c r="D602" s="293"/>
      <c r="E602" s="293"/>
      <c r="F602" s="293"/>
      <c r="G602" s="293"/>
      <c r="H602" s="293"/>
      <c r="I602" s="293"/>
      <c r="J602" s="293"/>
      <c r="K602" s="293"/>
      <c r="L602" s="293"/>
      <c r="M602" s="293"/>
      <c r="N602" s="293"/>
      <c r="O602" s="293"/>
      <c r="P602" s="293"/>
      <c r="Q602" s="293"/>
      <c r="R602" s="293"/>
      <c r="S602" s="293"/>
      <c r="T602" s="293"/>
      <c r="U602" s="293"/>
      <c r="V602" s="293"/>
      <c r="W602" s="293"/>
      <c r="X602" s="293"/>
      <c r="Y602" s="293"/>
      <c r="Z602" s="293"/>
      <c r="AA602" s="293"/>
      <c r="AB602" s="293"/>
      <c r="AC602" s="293"/>
      <c r="AD602" s="293"/>
    </row>
    <row r="603" spans="1:30" ht="14.25" customHeight="1" x14ac:dyDescent="0.3">
      <c r="A603" s="293"/>
      <c r="B603" s="293"/>
      <c r="C603" s="293"/>
      <c r="D603" s="293"/>
      <c r="E603" s="293"/>
      <c r="F603" s="293"/>
      <c r="G603" s="293"/>
      <c r="H603" s="293"/>
      <c r="I603" s="293"/>
      <c r="J603" s="293"/>
      <c r="K603" s="293"/>
      <c r="L603" s="293"/>
      <c r="M603" s="293"/>
      <c r="N603" s="293"/>
      <c r="O603" s="293"/>
      <c r="P603" s="293"/>
      <c r="Q603" s="293"/>
      <c r="R603" s="293"/>
      <c r="S603" s="293"/>
      <c r="T603" s="293"/>
      <c r="U603" s="293"/>
      <c r="V603" s="293"/>
      <c r="W603" s="293"/>
      <c r="X603" s="293"/>
      <c r="Y603" s="293"/>
      <c r="Z603" s="293"/>
      <c r="AA603" s="293"/>
      <c r="AB603" s="293"/>
      <c r="AC603" s="293"/>
      <c r="AD603" s="293"/>
    </row>
    <row r="604" spans="1:30" ht="14.25" customHeight="1" x14ac:dyDescent="0.3">
      <c r="A604" s="293"/>
      <c r="B604" s="293"/>
      <c r="C604" s="293"/>
      <c r="D604" s="293"/>
      <c r="E604" s="293"/>
      <c r="F604" s="293"/>
      <c r="G604" s="293"/>
      <c r="H604" s="293"/>
      <c r="I604" s="293"/>
      <c r="J604" s="293"/>
      <c r="K604" s="293"/>
      <c r="L604" s="293"/>
      <c r="M604" s="293"/>
      <c r="N604" s="293"/>
      <c r="O604" s="293"/>
      <c r="P604" s="293"/>
      <c r="Q604" s="293"/>
      <c r="R604" s="293"/>
      <c r="S604" s="293"/>
      <c r="T604" s="293"/>
      <c r="U604" s="293"/>
      <c r="V604" s="293"/>
      <c r="W604" s="293"/>
      <c r="X604" s="293"/>
      <c r="Y604" s="293"/>
      <c r="Z604" s="293"/>
      <c r="AA604" s="293"/>
      <c r="AB604" s="293"/>
      <c r="AC604" s="293"/>
      <c r="AD604" s="293"/>
    </row>
    <row r="605" spans="1:30" ht="14.25" customHeight="1" x14ac:dyDescent="0.3">
      <c r="A605" s="293"/>
      <c r="B605" s="293"/>
      <c r="C605" s="293"/>
      <c r="D605" s="293"/>
      <c r="E605" s="293"/>
      <c r="F605" s="293"/>
      <c r="G605" s="293"/>
      <c r="H605" s="293"/>
      <c r="I605" s="293"/>
      <c r="J605" s="293"/>
      <c r="K605" s="293"/>
      <c r="L605" s="293"/>
      <c r="M605" s="293"/>
      <c r="N605" s="293"/>
      <c r="O605" s="293"/>
      <c r="P605" s="293"/>
      <c r="Q605" s="293"/>
      <c r="R605" s="293"/>
      <c r="S605" s="293"/>
      <c r="T605" s="293"/>
      <c r="U605" s="293"/>
      <c r="V605" s="293"/>
      <c r="W605" s="293"/>
      <c r="X605" s="293"/>
      <c r="Y605" s="293"/>
      <c r="Z605" s="293"/>
      <c r="AA605" s="293"/>
      <c r="AB605" s="293"/>
      <c r="AC605" s="293"/>
      <c r="AD605" s="293"/>
    </row>
    <row r="606" spans="1:30" ht="14.25" customHeight="1" x14ac:dyDescent="0.3">
      <c r="A606" s="293"/>
      <c r="B606" s="293"/>
      <c r="C606" s="293"/>
      <c r="D606" s="293"/>
      <c r="E606" s="293"/>
      <c r="F606" s="293"/>
      <c r="G606" s="293"/>
      <c r="H606" s="293"/>
      <c r="I606" s="293"/>
      <c r="J606" s="293"/>
      <c r="K606" s="293"/>
      <c r="L606" s="293"/>
      <c r="M606" s="293"/>
      <c r="N606" s="293"/>
      <c r="O606" s="293"/>
      <c r="P606" s="293"/>
      <c r="Q606" s="293"/>
      <c r="R606" s="293"/>
      <c r="S606" s="293"/>
      <c r="T606" s="293"/>
      <c r="U606" s="293"/>
      <c r="V606" s="293"/>
      <c r="W606" s="293"/>
      <c r="X606" s="293"/>
      <c r="Y606" s="293"/>
      <c r="Z606" s="293"/>
      <c r="AA606" s="293"/>
      <c r="AB606" s="293"/>
      <c r="AC606" s="293"/>
      <c r="AD606" s="293"/>
    </row>
    <row r="607" spans="1:30" ht="14.25" customHeight="1" x14ac:dyDescent="0.3">
      <c r="A607" s="293"/>
      <c r="B607" s="293"/>
      <c r="C607" s="293"/>
      <c r="D607" s="293"/>
      <c r="E607" s="293"/>
      <c r="F607" s="293"/>
      <c r="G607" s="293"/>
      <c r="H607" s="293"/>
      <c r="I607" s="293"/>
      <c r="J607" s="293"/>
      <c r="K607" s="293"/>
      <c r="L607" s="293"/>
      <c r="M607" s="293"/>
      <c r="N607" s="293"/>
      <c r="O607" s="293"/>
      <c r="P607" s="293"/>
      <c r="Q607" s="293"/>
      <c r="R607" s="293"/>
      <c r="S607" s="293"/>
      <c r="T607" s="293"/>
      <c r="U607" s="293"/>
      <c r="V607" s="293"/>
      <c r="W607" s="293"/>
      <c r="X607" s="293"/>
      <c r="Y607" s="293"/>
      <c r="Z607" s="293"/>
      <c r="AA607" s="293"/>
      <c r="AB607" s="293"/>
      <c r="AC607" s="293"/>
      <c r="AD607" s="293"/>
    </row>
    <row r="608" spans="1:30" ht="14.25" customHeight="1" x14ac:dyDescent="0.3">
      <c r="A608" s="293"/>
      <c r="B608" s="293"/>
      <c r="C608" s="293"/>
      <c r="D608" s="293"/>
      <c r="E608" s="293"/>
      <c r="F608" s="293"/>
      <c r="G608" s="293"/>
      <c r="H608" s="293"/>
      <c r="I608" s="293"/>
      <c r="J608" s="293"/>
      <c r="K608" s="293"/>
      <c r="L608" s="293"/>
      <c r="M608" s="293"/>
      <c r="N608" s="293"/>
      <c r="O608" s="293"/>
      <c r="P608" s="293"/>
      <c r="Q608" s="293"/>
      <c r="R608" s="293"/>
      <c r="S608" s="293"/>
      <c r="T608" s="293"/>
      <c r="U608" s="293"/>
      <c r="V608" s="293"/>
      <c r="W608" s="293"/>
      <c r="X608" s="293"/>
      <c r="Y608" s="293"/>
      <c r="Z608" s="293"/>
      <c r="AA608" s="293"/>
      <c r="AB608" s="293"/>
      <c r="AC608" s="293"/>
      <c r="AD608" s="293"/>
    </row>
    <row r="609" spans="1:30" ht="14.25" customHeight="1" x14ac:dyDescent="0.3">
      <c r="A609" s="293"/>
      <c r="B609" s="293"/>
      <c r="C609" s="293"/>
      <c r="D609" s="293"/>
      <c r="E609" s="293"/>
      <c r="F609" s="293"/>
      <c r="G609" s="293"/>
      <c r="H609" s="293"/>
      <c r="I609" s="293"/>
      <c r="J609" s="293"/>
      <c r="K609" s="293"/>
      <c r="L609" s="293"/>
      <c r="M609" s="293"/>
      <c r="N609" s="293"/>
      <c r="O609" s="293"/>
      <c r="P609" s="293"/>
      <c r="Q609" s="293"/>
      <c r="R609" s="293"/>
      <c r="S609" s="293"/>
      <c r="T609" s="293"/>
      <c r="U609" s="293"/>
      <c r="V609" s="293"/>
      <c r="W609" s="293"/>
      <c r="X609" s="293"/>
      <c r="Y609" s="293"/>
      <c r="Z609" s="293"/>
      <c r="AA609" s="293"/>
      <c r="AB609" s="293"/>
      <c r="AC609" s="293"/>
      <c r="AD609" s="293"/>
    </row>
    <row r="610" spans="1:30" ht="14.25" customHeight="1" x14ac:dyDescent="0.3">
      <c r="A610" s="293"/>
      <c r="B610" s="293"/>
      <c r="C610" s="293"/>
      <c r="D610" s="293"/>
      <c r="E610" s="293"/>
      <c r="F610" s="293"/>
      <c r="G610" s="293"/>
      <c r="H610" s="293"/>
      <c r="I610" s="293"/>
      <c r="J610" s="293"/>
      <c r="K610" s="293"/>
      <c r="L610" s="293"/>
      <c r="M610" s="293"/>
      <c r="N610" s="293"/>
      <c r="O610" s="293"/>
      <c r="P610" s="293"/>
      <c r="Q610" s="293"/>
      <c r="R610" s="293"/>
      <c r="S610" s="293"/>
      <c r="T610" s="293"/>
      <c r="U610" s="293"/>
      <c r="V610" s="293"/>
      <c r="W610" s="293"/>
      <c r="X610" s="293"/>
      <c r="Y610" s="293"/>
      <c r="Z610" s="293"/>
      <c r="AA610" s="293"/>
      <c r="AB610" s="293"/>
      <c r="AC610" s="293"/>
      <c r="AD610" s="293"/>
    </row>
    <row r="611" spans="1:30" ht="14.25" customHeight="1" x14ac:dyDescent="0.3">
      <c r="A611" s="293"/>
      <c r="B611" s="293"/>
      <c r="C611" s="293"/>
      <c r="D611" s="293"/>
      <c r="E611" s="293"/>
      <c r="F611" s="293"/>
      <c r="G611" s="293"/>
      <c r="H611" s="293"/>
      <c r="I611" s="293"/>
      <c r="J611" s="293"/>
      <c r="K611" s="293"/>
      <c r="L611" s="293"/>
      <c r="M611" s="293"/>
      <c r="N611" s="293"/>
      <c r="O611" s="293"/>
      <c r="P611" s="293"/>
      <c r="Q611" s="293"/>
      <c r="R611" s="293"/>
      <c r="S611" s="293"/>
      <c r="T611" s="293"/>
      <c r="U611" s="293"/>
      <c r="V611" s="293"/>
      <c r="W611" s="293"/>
      <c r="X611" s="293"/>
      <c r="Y611" s="293"/>
      <c r="Z611" s="293"/>
      <c r="AA611" s="293"/>
      <c r="AB611" s="293"/>
      <c r="AC611" s="293"/>
      <c r="AD611" s="293"/>
    </row>
    <row r="612" spans="1:30" ht="14.25" customHeight="1" x14ac:dyDescent="0.3">
      <c r="A612" s="293"/>
      <c r="B612" s="293"/>
      <c r="C612" s="293"/>
      <c r="D612" s="293"/>
      <c r="E612" s="293"/>
      <c r="F612" s="293"/>
      <c r="G612" s="293"/>
      <c r="H612" s="293"/>
      <c r="I612" s="293"/>
      <c r="J612" s="293"/>
      <c r="K612" s="293"/>
      <c r="L612" s="293"/>
      <c r="M612" s="293"/>
      <c r="N612" s="293"/>
      <c r="O612" s="293"/>
      <c r="P612" s="293"/>
      <c r="Q612" s="293"/>
      <c r="R612" s="293"/>
      <c r="S612" s="293"/>
      <c r="T612" s="293"/>
      <c r="U612" s="293"/>
      <c r="V612" s="293"/>
      <c r="W612" s="293"/>
      <c r="X612" s="293"/>
      <c r="Y612" s="293"/>
      <c r="Z612" s="293"/>
      <c r="AA612" s="293"/>
      <c r="AB612" s="293"/>
      <c r="AC612" s="293"/>
      <c r="AD612" s="293"/>
    </row>
    <row r="613" spans="1:30" ht="14.25" customHeight="1" x14ac:dyDescent="0.3">
      <c r="A613" s="293"/>
      <c r="B613" s="293"/>
      <c r="C613" s="293"/>
      <c r="D613" s="293"/>
      <c r="E613" s="293"/>
      <c r="F613" s="293"/>
      <c r="G613" s="293"/>
      <c r="H613" s="293"/>
      <c r="I613" s="293"/>
      <c r="J613" s="293"/>
      <c r="K613" s="293"/>
      <c r="L613" s="293"/>
      <c r="M613" s="293"/>
      <c r="N613" s="293"/>
      <c r="O613" s="293"/>
      <c r="P613" s="293"/>
      <c r="Q613" s="293"/>
      <c r="R613" s="293"/>
      <c r="S613" s="293"/>
      <c r="T613" s="293"/>
      <c r="U613" s="293"/>
      <c r="V613" s="293"/>
      <c r="W613" s="293"/>
      <c r="X613" s="293"/>
      <c r="Y613" s="293"/>
      <c r="Z613" s="293"/>
      <c r="AA613" s="293"/>
      <c r="AB613" s="293"/>
      <c r="AC613" s="293"/>
      <c r="AD613" s="293"/>
    </row>
    <row r="614" spans="1:30" ht="14.25" customHeight="1" x14ac:dyDescent="0.3">
      <c r="A614" s="293"/>
      <c r="B614" s="293"/>
      <c r="C614" s="293"/>
      <c r="D614" s="293"/>
      <c r="E614" s="293"/>
      <c r="F614" s="293"/>
      <c r="G614" s="293"/>
      <c r="H614" s="293"/>
      <c r="I614" s="293"/>
      <c r="J614" s="293"/>
      <c r="K614" s="293"/>
      <c r="L614" s="293"/>
      <c r="M614" s="293"/>
      <c r="N614" s="293"/>
      <c r="O614" s="293"/>
      <c r="P614" s="293"/>
      <c r="Q614" s="293"/>
      <c r="R614" s="293"/>
      <c r="S614" s="293"/>
      <c r="T614" s="293"/>
      <c r="U614" s="293"/>
      <c r="V614" s="293"/>
      <c r="W614" s="293"/>
      <c r="X614" s="293"/>
      <c r="Y614" s="293"/>
      <c r="Z614" s="293"/>
      <c r="AA614" s="293"/>
      <c r="AB614" s="293"/>
      <c r="AC614" s="293"/>
      <c r="AD614" s="293"/>
    </row>
    <row r="615" spans="1:30" ht="14.25" customHeight="1" x14ac:dyDescent="0.3">
      <c r="A615" s="293"/>
      <c r="B615" s="293"/>
      <c r="C615" s="293"/>
      <c r="D615" s="293"/>
      <c r="E615" s="293"/>
      <c r="F615" s="293"/>
      <c r="G615" s="293"/>
      <c r="H615" s="293"/>
      <c r="I615" s="293"/>
      <c r="J615" s="293"/>
      <c r="K615" s="293"/>
      <c r="L615" s="293"/>
      <c r="M615" s="293"/>
      <c r="N615" s="293"/>
      <c r="O615" s="293"/>
      <c r="P615" s="293"/>
      <c r="Q615" s="293"/>
      <c r="R615" s="293"/>
      <c r="S615" s="293"/>
      <c r="T615" s="293"/>
      <c r="U615" s="293"/>
      <c r="V615" s="293"/>
      <c r="W615" s="293"/>
      <c r="X615" s="293"/>
      <c r="Y615" s="293"/>
      <c r="Z615" s="293"/>
      <c r="AA615" s="293"/>
      <c r="AB615" s="293"/>
      <c r="AC615" s="293"/>
      <c r="AD615" s="293"/>
    </row>
    <row r="616" spans="1:30" ht="14.25" customHeight="1" x14ac:dyDescent="0.3">
      <c r="A616" s="293"/>
      <c r="B616" s="293"/>
      <c r="C616" s="293"/>
      <c r="D616" s="293"/>
      <c r="E616" s="293"/>
      <c r="F616" s="293"/>
      <c r="G616" s="293"/>
      <c r="H616" s="293"/>
      <c r="I616" s="293"/>
      <c r="J616" s="293"/>
      <c r="K616" s="293"/>
      <c r="L616" s="293"/>
      <c r="M616" s="293"/>
      <c r="N616" s="293"/>
      <c r="O616" s="293"/>
      <c r="P616" s="293"/>
      <c r="Q616" s="293"/>
      <c r="R616" s="293"/>
      <c r="S616" s="293"/>
      <c r="T616" s="293"/>
      <c r="U616" s="293"/>
      <c r="V616" s="293"/>
      <c r="W616" s="293"/>
      <c r="X616" s="293"/>
      <c r="Y616" s="293"/>
      <c r="Z616" s="293"/>
      <c r="AA616" s="293"/>
      <c r="AB616" s="293"/>
      <c r="AC616" s="293"/>
      <c r="AD616" s="293"/>
    </row>
    <row r="617" spans="1:30" ht="14.25" customHeight="1" x14ac:dyDescent="0.3">
      <c r="A617" s="293"/>
      <c r="B617" s="293"/>
      <c r="C617" s="293"/>
      <c r="D617" s="293"/>
      <c r="E617" s="293"/>
      <c r="F617" s="293"/>
      <c r="G617" s="293"/>
      <c r="H617" s="293"/>
      <c r="I617" s="293"/>
      <c r="J617" s="293"/>
      <c r="K617" s="293"/>
      <c r="L617" s="293"/>
      <c r="M617" s="293"/>
      <c r="N617" s="293"/>
      <c r="O617" s="293"/>
      <c r="P617" s="293"/>
      <c r="Q617" s="293"/>
      <c r="R617" s="293"/>
      <c r="S617" s="293"/>
      <c r="T617" s="293"/>
      <c r="U617" s="293"/>
      <c r="V617" s="293"/>
      <c r="W617" s="293"/>
      <c r="X617" s="293"/>
      <c r="Y617" s="293"/>
      <c r="Z617" s="293"/>
      <c r="AA617" s="293"/>
      <c r="AB617" s="293"/>
      <c r="AC617" s="293"/>
      <c r="AD617" s="293"/>
    </row>
    <row r="618" spans="1:30" ht="14.25" customHeight="1" x14ac:dyDescent="0.3">
      <c r="A618" s="293"/>
      <c r="B618" s="293"/>
      <c r="C618" s="293"/>
      <c r="D618" s="293"/>
      <c r="E618" s="293"/>
      <c r="F618" s="293"/>
      <c r="G618" s="293"/>
      <c r="H618" s="293"/>
      <c r="I618" s="293"/>
      <c r="J618" s="293"/>
      <c r="K618" s="293"/>
      <c r="L618" s="293"/>
      <c r="M618" s="293"/>
      <c r="N618" s="293"/>
      <c r="O618" s="293"/>
      <c r="P618" s="293"/>
      <c r="Q618" s="293"/>
      <c r="R618" s="293"/>
      <c r="S618" s="293"/>
      <c r="T618" s="293"/>
      <c r="U618" s="293"/>
      <c r="V618" s="293"/>
      <c r="W618" s="293"/>
      <c r="X618" s="293"/>
      <c r="Y618" s="293"/>
      <c r="Z618" s="293"/>
      <c r="AA618" s="293"/>
      <c r="AB618" s="293"/>
      <c r="AC618" s="293"/>
      <c r="AD618" s="293"/>
    </row>
    <row r="619" spans="1:30" ht="14.25" customHeight="1" x14ac:dyDescent="0.3">
      <c r="A619" s="293"/>
      <c r="B619" s="293"/>
      <c r="C619" s="293"/>
      <c r="D619" s="293"/>
      <c r="E619" s="293"/>
      <c r="F619" s="293"/>
      <c r="G619" s="293"/>
      <c r="H619" s="293"/>
      <c r="I619" s="293"/>
      <c r="J619" s="293"/>
      <c r="K619" s="293"/>
      <c r="L619" s="293"/>
      <c r="M619" s="293"/>
      <c r="N619" s="293"/>
      <c r="O619" s="293"/>
      <c r="P619" s="293"/>
      <c r="Q619" s="293"/>
      <c r="R619" s="293"/>
      <c r="S619" s="293"/>
      <c r="T619" s="293"/>
      <c r="U619" s="293"/>
      <c r="V619" s="293"/>
      <c r="W619" s="293"/>
      <c r="X619" s="293"/>
      <c r="Y619" s="293"/>
      <c r="Z619" s="293"/>
      <c r="AA619" s="293"/>
      <c r="AB619" s="293"/>
      <c r="AC619" s="293"/>
      <c r="AD619" s="293"/>
    </row>
    <row r="620" spans="1:30" ht="14.25" customHeight="1" x14ac:dyDescent="0.3">
      <c r="A620" s="293"/>
      <c r="B620" s="293"/>
      <c r="C620" s="293"/>
      <c r="D620" s="293"/>
      <c r="E620" s="293"/>
      <c r="F620" s="293"/>
      <c r="G620" s="293"/>
      <c r="H620" s="293"/>
      <c r="I620" s="293"/>
      <c r="J620" s="293"/>
      <c r="K620" s="293"/>
      <c r="L620" s="293"/>
      <c r="M620" s="293"/>
      <c r="N620" s="293"/>
      <c r="O620" s="293"/>
      <c r="P620" s="293"/>
      <c r="Q620" s="293"/>
      <c r="R620" s="293"/>
      <c r="S620" s="293"/>
      <c r="T620" s="293"/>
      <c r="U620" s="293"/>
      <c r="V620" s="293"/>
      <c r="W620" s="293"/>
      <c r="X620" s="293"/>
      <c r="Y620" s="293"/>
      <c r="Z620" s="293"/>
      <c r="AA620" s="293"/>
      <c r="AB620" s="293"/>
      <c r="AC620" s="293"/>
      <c r="AD620" s="293"/>
    </row>
    <row r="621" spans="1:30" ht="14.25" customHeight="1" x14ac:dyDescent="0.3">
      <c r="A621" s="293"/>
      <c r="B621" s="293"/>
      <c r="C621" s="293"/>
      <c r="D621" s="293"/>
      <c r="E621" s="293"/>
      <c r="F621" s="293"/>
      <c r="G621" s="293"/>
      <c r="H621" s="293"/>
      <c r="I621" s="293"/>
      <c r="J621" s="293"/>
      <c r="K621" s="293"/>
      <c r="L621" s="293"/>
      <c r="M621" s="293"/>
      <c r="N621" s="293"/>
      <c r="O621" s="293"/>
      <c r="P621" s="293"/>
      <c r="Q621" s="293"/>
      <c r="R621" s="293"/>
      <c r="S621" s="293"/>
      <c r="T621" s="293"/>
      <c r="U621" s="293"/>
      <c r="V621" s="293"/>
      <c r="W621" s="293"/>
      <c r="X621" s="293"/>
      <c r="Y621" s="293"/>
      <c r="Z621" s="293"/>
      <c r="AA621" s="293"/>
      <c r="AB621" s="293"/>
      <c r="AC621" s="293"/>
      <c r="AD621" s="293"/>
    </row>
    <row r="622" spans="1:30" ht="14.25" customHeight="1" x14ac:dyDescent="0.3">
      <c r="A622" s="293"/>
      <c r="B622" s="293"/>
      <c r="C622" s="293"/>
      <c r="D622" s="293"/>
      <c r="E622" s="293"/>
      <c r="F622" s="293"/>
      <c r="G622" s="293"/>
      <c r="H622" s="293"/>
      <c r="I622" s="293"/>
      <c r="J622" s="293"/>
      <c r="K622" s="293"/>
      <c r="L622" s="293"/>
      <c r="M622" s="293"/>
      <c r="N622" s="293"/>
      <c r="O622" s="293"/>
      <c r="P622" s="293"/>
      <c r="Q622" s="293"/>
      <c r="R622" s="293"/>
      <c r="S622" s="293"/>
      <c r="T622" s="293"/>
      <c r="U622" s="293"/>
      <c r="V622" s="293"/>
      <c r="W622" s="293"/>
      <c r="X622" s="293"/>
      <c r="Y622" s="293"/>
      <c r="Z622" s="293"/>
      <c r="AA622" s="293"/>
      <c r="AB622" s="293"/>
      <c r="AC622" s="293"/>
      <c r="AD622" s="293"/>
    </row>
    <row r="623" spans="1:30" ht="14.25" customHeight="1" x14ac:dyDescent="0.3">
      <c r="A623" s="293"/>
      <c r="B623" s="293"/>
      <c r="C623" s="293"/>
      <c r="D623" s="293"/>
      <c r="E623" s="293"/>
      <c r="F623" s="293"/>
      <c r="G623" s="293"/>
      <c r="H623" s="293"/>
      <c r="I623" s="293"/>
      <c r="J623" s="293"/>
      <c r="K623" s="293"/>
      <c r="L623" s="293"/>
      <c r="M623" s="293"/>
      <c r="N623" s="293"/>
      <c r="O623" s="293"/>
      <c r="P623" s="293"/>
      <c r="Q623" s="293"/>
      <c r="R623" s="293"/>
      <c r="S623" s="293"/>
      <c r="T623" s="293"/>
      <c r="U623" s="293"/>
      <c r="V623" s="293"/>
      <c r="W623" s="293"/>
      <c r="X623" s="293"/>
      <c r="Y623" s="293"/>
      <c r="Z623" s="293"/>
      <c r="AA623" s="293"/>
      <c r="AB623" s="293"/>
      <c r="AC623" s="293"/>
      <c r="AD623" s="293"/>
    </row>
    <row r="624" spans="1:30" ht="14.25" customHeight="1" x14ac:dyDescent="0.3">
      <c r="A624" s="293"/>
      <c r="B624" s="293"/>
      <c r="C624" s="293"/>
      <c r="D624" s="293"/>
      <c r="E624" s="293"/>
      <c r="F624" s="293"/>
      <c r="G624" s="293"/>
      <c r="H624" s="293"/>
      <c r="I624" s="293"/>
      <c r="J624" s="293"/>
      <c r="K624" s="293"/>
      <c r="L624" s="293"/>
      <c r="M624" s="293"/>
      <c r="N624" s="293"/>
      <c r="O624" s="293"/>
      <c r="P624" s="293"/>
      <c r="Q624" s="293"/>
      <c r="R624" s="293"/>
      <c r="S624" s="293"/>
      <c r="T624" s="293"/>
      <c r="U624" s="293"/>
      <c r="V624" s="293"/>
      <c r="W624" s="293"/>
      <c r="X624" s="293"/>
      <c r="Y624" s="293"/>
      <c r="Z624" s="293"/>
      <c r="AA624" s="293"/>
      <c r="AB624" s="293"/>
      <c r="AC624" s="293"/>
      <c r="AD624" s="293"/>
    </row>
    <row r="625" spans="1:30" ht="14.25" customHeight="1" x14ac:dyDescent="0.3">
      <c r="A625" s="293"/>
      <c r="B625" s="293"/>
      <c r="C625" s="293"/>
      <c r="D625" s="293"/>
      <c r="E625" s="293"/>
      <c r="F625" s="293"/>
      <c r="G625" s="293"/>
      <c r="H625" s="293"/>
      <c r="I625" s="293"/>
      <c r="J625" s="293"/>
      <c r="K625" s="293"/>
      <c r="L625" s="293"/>
      <c r="M625" s="293"/>
      <c r="N625" s="293"/>
      <c r="O625" s="293"/>
      <c r="P625" s="293"/>
      <c r="Q625" s="293"/>
      <c r="R625" s="293"/>
      <c r="S625" s="293"/>
      <c r="T625" s="293"/>
      <c r="U625" s="293"/>
      <c r="V625" s="293"/>
      <c r="W625" s="293"/>
      <c r="X625" s="293"/>
      <c r="Y625" s="293"/>
      <c r="Z625" s="293"/>
      <c r="AA625" s="293"/>
      <c r="AB625" s="293"/>
      <c r="AC625" s="293"/>
      <c r="AD625" s="293"/>
    </row>
    <row r="626" spans="1:30" ht="14.25" customHeight="1" x14ac:dyDescent="0.3">
      <c r="A626" s="293"/>
      <c r="B626" s="293"/>
      <c r="C626" s="293"/>
      <c r="D626" s="293"/>
      <c r="E626" s="293"/>
      <c r="F626" s="293"/>
      <c r="G626" s="293"/>
      <c r="H626" s="293"/>
      <c r="I626" s="293"/>
      <c r="J626" s="293"/>
      <c r="K626" s="293"/>
      <c r="L626" s="293"/>
      <c r="M626" s="293"/>
      <c r="N626" s="293"/>
      <c r="O626" s="293"/>
      <c r="P626" s="293"/>
      <c r="Q626" s="293"/>
      <c r="R626" s="293"/>
      <c r="S626" s="293"/>
      <c r="T626" s="293"/>
      <c r="U626" s="293"/>
      <c r="V626" s="293"/>
      <c r="W626" s="293"/>
      <c r="X626" s="293"/>
      <c r="Y626" s="293"/>
      <c r="Z626" s="293"/>
      <c r="AA626" s="293"/>
      <c r="AB626" s="293"/>
      <c r="AC626" s="293"/>
      <c r="AD626" s="293"/>
    </row>
    <row r="627" spans="1:30" ht="14.25" customHeight="1" x14ac:dyDescent="0.3">
      <c r="A627" s="293"/>
      <c r="B627" s="293"/>
      <c r="C627" s="293"/>
      <c r="D627" s="293"/>
      <c r="E627" s="293"/>
      <c r="F627" s="293"/>
      <c r="G627" s="293"/>
      <c r="H627" s="293"/>
      <c r="I627" s="293"/>
      <c r="J627" s="293"/>
      <c r="K627" s="293"/>
      <c r="L627" s="293"/>
      <c r="M627" s="293"/>
      <c r="N627" s="293"/>
      <c r="O627" s="293"/>
      <c r="P627" s="293"/>
      <c r="Q627" s="293"/>
      <c r="R627" s="293"/>
      <c r="S627" s="293"/>
      <c r="T627" s="293"/>
      <c r="U627" s="293"/>
      <c r="V627" s="293"/>
      <c r="W627" s="293"/>
      <c r="X627" s="293"/>
      <c r="Y627" s="293"/>
      <c r="Z627" s="293"/>
      <c r="AA627" s="293"/>
      <c r="AB627" s="293"/>
      <c r="AC627" s="293"/>
      <c r="AD627" s="293"/>
    </row>
    <row r="628" spans="1:30" ht="14.25" customHeight="1" x14ac:dyDescent="0.3">
      <c r="A628" s="293"/>
      <c r="B628" s="293"/>
      <c r="C628" s="293"/>
      <c r="D628" s="293"/>
      <c r="E628" s="293"/>
      <c r="F628" s="293"/>
      <c r="G628" s="293"/>
      <c r="H628" s="293"/>
      <c r="I628" s="293"/>
      <c r="J628" s="293"/>
      <c r="K628" s="293"/>
      <c r="L628" s="293"/>
      <c r="M628" s="293"/>
      <c r="N628" s="293"/>
      <c r="O628" s="293"/>
      <c r="P628" s="293"/>
      <c r="Q628" s="293"/>
      <c r="R628" s="293"/>
      <c r="S628" s="293"/>
      <c r="T628" s="293"/>
      <c r="U628" s="293"/>
      <c r="V628" s="293"/>
      <c r="W628" s="293"/>
      <c r="X628" s="293"/>
      <c r="Y628" s="293"/>
      <c r="Z628" s="293"/>
      <c r="AA628" s="293"/>
      <c r="AB628" s="293"/>
      <c r="AC628" s="293"/>
      <c r="AD628" s="293"/>
    </row>
    <row r="629" spans="1:30" ht="14.25" customHeight="1" x14ac:dyDescent="0.3">
      <c r="A629" s="293"/>
      <c r="B629" s="293"/>
      <c r="C629" s="293"/>
      <c r="D629" s="293"/>
      <c r="E629" s="293"/>
      <c r="F629" s="293"/>
      <c r="G629" s="293"/>
      <c r="H629" s="293"/>
      <c r="I629" s="293"/>
      <c r="J629" s="293"/>
      <c r="K629" s="293"/>
      <c r="L629" s="293"/>
      <c r="M629" s="293"/>
      <c r="N629" s="293"/>
      <c r="O629" s="293"/>
      <c r="P629" s="293"/>
      <c r="Q629" s="293"/>
      <c r="R629" s="293"/>
      <c r="S629" s="293"/>
      <c r="T629" s="293"/>
      <c r="U629" s="293"/>
      <c r="V629" s="293"/>
      <c r="W629" s="293"/>
      <c r="X629" s="293"/>
      <c r="Y629" s="293"/>
      <c r="Z629" s="293"/>
      <c r="AA629" s="293"/>
      <c r="AB629" s="293"/>
      <c r="AC629" s="293"/>
      <c r="AD629" s="293"/>
    </row>
    <row r="630" spans="1:30" ht="14.25" customHeight="1" x14ac:dyDescent="0.3">
      <c r="A630" s="293"/>
      <c r="B630" s="293"/>
      <c r="C630" s="293"/>
      <c r="D630" s="293"/>
      <c r="E630" s="293"/>
      <c r="F630" s="293"/>
      <c r="G630" s="293"/>
      <c r="H630" s="293"/>
      <c r="I630" s="293"/>
      <c r="J630" s="293"/>
      <c r="K630" s="293"/>
      <c r="L630" s="293"/>
      <c r="M630" s="293"/>
      <c r="N630" s="293"/>
      <c r="O630" s="293"/>
      <c r="P630" s="293"/>
      <c r="Q630" s="293"/>
      <c r="R630" s="293"/>
      <c r="S630" s="293"/>
      <c r="T630" s="293"/>
      <c r="U630" s="293"/>
      <c r="V630" s="293"/>
      <c r="W630" s="293"/>
      <c r="X630" s="293"/>
      <c r="Y630" s="293"/>
      <c r="Z630" s="293"/>
      <c r="AA630" s="293"/>
      <c r="AB630" s="293"/>
      <c r="AC630" s="293"/>
      <c r="AD630" s="293"/>
    </row>
    <row r="631" spans="1:30" ht="14.25" customHeight="1" x14ac:dyDescent="0.3">
      <c r="A631" s="293"/>
      <c r="B631" s="293"/>
      <c r="C631" s="293"/>
      <c r="D631" s="293"/>
      <c r="E631" s="293"/>
      <c r="F631" s="293"/>
      <c r="G631" s="293"/>
      <c r="H631" s="293"/>
      <c r="I631" s="293"/>
      <c r="J631" s="293"/>
      <c r="K631" s="293"/>
      <c r="L631" s="293"/>
      <c r="M631" s="293"/>
      <c r="N631" s="293"/>
      <c r="O631" s="293"/>
      <c r="P631" s="293"/>
      <c r="Q631" s="293"/>
      <c r="R631" s="293"/>
      <c r="S631" s="293"/>
      <c r="T631" s="293"/>
      <c r="U631" s="293"/>
      <c r="V631" s="293"/>
      <c r="W631" s="293"/>
      <c r="X631" s="293"/>
      <c r="Y631" s="293"/>
      <c r="Z631" s="293"/>
      <c r="AA631" s="293"/>
      <c r="AB631" s="293"/>
      <c r="AC631" s="293"/>
      <c r="AD631" s="293"/>
    </row>
    <row r="632" spans="1:30" ht="14.25" customHeight="1" x14ac:dyDescent="0.3">
      <c r="A632" s="293"/>
      <c r="B632" s="293"/>
      <c r="C632" s="293"/>
      <c r="D632" s="293"/>
      <c r="E632" s="293"/>
      <c r="F632" s="293"/>
      <c r="G632" s="293"/>
      <c r="H632" s="293"/>
      <c r="I632" s="293"/>
      <c r="J632" s="293"/>
      <c r="K632" s="293"/>
      <c r="L632" s="293"/>
      <c r="M632" s="293"/>
      <c r="N632" s="293"/>
      <c r="O632" s="293"/>
      <c r="P632" s="293"/>
      <c r="Q632" s="293"/>
      <c r="R632" s="293"/>
      <c r="S632" s="293"/>
      <c r="T632" s="293"/>
      <c r="U632" s="293"/>
      <c r="V632" s="293"/>
      <c r="W632" s="293"/>
      <c r="X632" s="293"/>
      <c r="Y632" s="293"/>
      <c r="Z632" s="293"/>
      <c r="AA632" s="293"/>
      <c r="AB632" s="293"/>
      <c r="AC632" s="293"/>
      <c r="AD632" s="293"/>
    </row>
    <row r="633" spans="1:30" ht="14.25" customHeight="1" x14ac:dyDescent="0.3">
      <c r="A633" s="293"/>
      <c r="B633" s="293"/>
      <c r="C633" s="293"/>
      <c r="D633" s="293"/>
      <c r="E633" s="293"/>
      <c r="F633" s="293"/>
      <c r="G633" s="293"/>
      <c r="H633" s="293"/>
      <c r="I633" s="293"/>
      <c r="J633" s="293"/>
      <c r="K633" s="293"/>
      <c r="L633" s="293"/>
      <c r="M633" s="293"/>
      <c r="N633" s="293"/>
      <c r="O633" s="293"/>
      <c r="P633" s="293"/>
      <c r="Q633" s="293"/>
      <c r="R633" s="293"/>
      <c r="S633" s="293"/>
      <c r="T633" s="293"/>
      <c r="U633" s="293"/>
      <c r="V633" s="293"/>
      <c r="W633" s="293"/>
      <c r="X633" s="293"/>
      <c r="Y633" s="293"/>
      <c r="Z633" s="293"/>
      <c r="AA633" s="293"/>
      <c r="AB633" s="293"/>
      <c r="AC633" s="293"/>
      <c r="AD633" s="293"/>
    </row>
    <row r="634" spans="1:30" ht="14.25" customHeight="1" x14ac:dyDescent="0.3">
      <c r="A634" s="293"/>
      <c r="B634" s="293"/>
      <c r="C634" s="293"/>
      <c r="D634" s="293"/>
      <c r="E634" s="293"/>
      <c r="F634" s="293"/>
      <c r="G634" s="293"/>
      <c r="H634" s="293"/>
      <c r="I634" s="293"/>
      <c r="J634" s="293"/>
      <c r="K634" s="293"/>
      <c r="L634" s="293"/>
      <c r="M634" s="293"/>
      <c r="N634" s="293"/>
      <c r="O634" s="293"/>
      <c r="P634" s="293"/>
      <c r="Q634" s="293"/>
      <c r="R634" s="293"/>
      <c r="S634" s="293"/>
      <c r="T634" s="293"/>
      <c r="U634" s="293"/>
      <c r="V634" s="293"/>
      <c r="W634" s="293"/>
      <c r="X634" s="293"/>
      <c r="Y634" s="293"/>
      <c r="Z634" s="293"/>
      <c r="AA634" s="293"/>
      <c r="AB634" s="293"/>
      <c r="AC634" s="293"/>
      <c r="AD634" s="293"/>
    </row>
    <row r="635" spans="1:30" ht="14.25" customHeight="1" x14ac:dyDescent="0.3">
      <c r="A635" s="293"/>
      <c r="B635" s="293"/>
      <c r="C635" s="293"/>
      <c r="D635" s="293"/>
      <c r="E635" s="293"/>
      <c r="F635" s="293"/>
      <c r="G635" s="293"/>
      <c r="H635" s="293"/>
      <c r="I635" s="293"/>
      <c r="J635" s="293"/>
      <c r="K635" s="293"/>
      <c r="L635" s="293"/>
      <c r="M635" s="293"/>
      <c r="N635" s="293"/>
      <c r="O635" s="293"/>
      <c r="P635" s="293"/>
      <c r="Q635" s="293"/>
      <c r="R635" s="293"/>
      <c r="S635" s="293"/>
      <c r="T635" s="293"/>
      <c r="U635" s="293"/>
      <c r="V635" s="293"/>
      <c r="W635" s="293"/>
      <c r="X635" s="293"/>
      <c r="Y635" s="293"/>
      <c r="Z635" s="293"/>
      <c r="AA635" s="293"/>
      <c r="AB635" s="293"/>
      <c r="AC635" s="293"/>
      <c r="AD635" s="293"/>
    </row>
    <row r="636" spans="1:30" ht="14.25" customHeight="1" x14ac:dyDescent="0.3">
      <c r="A636" s="293"/>
      <c r="B636" s="293"/>
      <c r="C636" s="293"/>
      <c r="D636" s="293"/>
      <c r="E636" s="293"/>
      <c r="F636" s="293"/>
      <c r="G636" s="293"/>
      <c r="H636" s="293"/>
      <c r="I636" s="293"/>
      <c r="J636" s="293"/>
      <c r="K636" s="293"/>
      <c r="L636" s="293"/>
      <c r="M636" s="293"/>
      <c r="N636" s="293"/>
      <c r="O636" s="293"/>
      <c r="P636" s="293"/>
      <c r="Q636" s="293"/>
      <c r="R636" s="293"/>
      <c r="S636" s="293"/>
      <c r="T636" s="293"/>
      <c r="U636" s="293"/>
      <c r="V636" s="293"/>
      <c r="W636" s="293"/>
      <c r="X636" s="293"/>
      <c r="Y636" s="293"/>
      <c r="Z636" s="293"/>
      <c r="AA636" s="293"/>
      <c r="AB636" s="293"/>
      <c r="AC636" s="293"/>
      <c r="AD636" s="293"/>
    </row>
    <row r="637" spans="1:30" ht="14.25" customHeight="1" x14ac:dyDescent="0.3">
      <c r="A637" s="293"/>
      <c r="B637" s="293"/>
      <c r="C637" s="293"/>
      <c r="D637" s="293"/>
      <c r="E637" s="293"/>
      <c r="F637" s="293"/>
      <c r="G637" s="293"/>
      <c r="H637" s="293"/>
      <c r="I637" s="293"/>
      <c r="J637" s="293"/>
      <c r="K637" s="293"/>
      <c r="L637" s="293"/>
      <c r="M637" s="293"/>
      <c r="N637" s="293"/>
      <c r="O637" s="293"/>
      <c r="P637" s="293"/>
      <c r="Q637" s="293"/>
      <c r="R637" s="293"/>
      <c r="S637" s="293"/>
      <c r="T637" s="293"/>
      <c r="U637" s="293"/>
      <c r="V637" s="293"/>
      <c r="W637" s="293"/>
      <c r="X637" s="293"/>
      <c r="Y637" s="293"/>
      <c r="Z637" s="293"/>
      <c r="AA637" s="293"/>
      <c r="AB637" s="293"/>
      <c r="AC637" s="293"/>
      <c r="AD637" s="293"/>
    </row>
    <row r="638" spans="1:30" ht="14.25" customHeight="1" x14ac:dyDescent="0.3">
      <c r="A638" s="293"/>
      <c r="B638" s="293"/>
      <c r="C638" s="293"/>
      <c r="D638" s="293"/>
      <c r="E638" s="293"/>
      <c r="F638" s="293"/>
      <c r="G638" s="293"/>
      <c r="H638" s="293"/>
      <c r="I638" s="293"/>
      <c r="J638" s="293"/>
      <c r="K638" s="293"/>
      <c r="L638" s="293"/>
      <c r="M638" s="293"/>
      <c r="N638" s="293"/>
      <c r="O638" s="293"/>
      <c r="P638" s="293"/>
      <c r="Q638" s="293"/>
      <c r="R638" s="293"/>
      <c r="S638" s="293"/>
      <c r="T638" s="293"/>
      <c r="U638" s="293"/>
      <c r="V638" s="293"/>
      <c r="W638" s="293"/>
      <c r="X638" s="293"/>
      <c r="Y638" s="293"/>
      <c r="Z638" s="293"/>
      <c r="AA638" s="293"/>
      <c r="AB638" s="293"/>
      <c r="AC638" s="293"/>
      <c r="AD638" s="293"/>
    </row>
    <row r="639" spans="1:30" ht="14.25" customHeight="1" x14ac:dyDescent="0.3">
      <c r="A639" s="293"/>
      <c r="B639" s="293"/>
      <c r="C639" s="293"/>
      <c r="D639" s="293"/>
      <c r="E639" s="293"/>
      <c r="F639" s="293"/>
      <c r="G639" s="293"/>
      <c r="H639" s="293"/>
      <c r="I639" s="293"/>
      <c r="J639" s="293"/>
      <c r="K639" s="293"/>
      <c r="L639" s="293"/>
      <c r="M639" s="293"/>
      <c r="N639" s="293"/>
      <c r="O639" s="293"/>
      <c r="P639" s="293"/>
      <c r="Q639" s="293"/>
      <c r="R639" s="293"/>
      <c r="S639" s="293"/>
      <c r="T639" s="293"/>
      <c r="U639" s="293"/>
      <c r="V639" s="293"/>
      <c r="W639" s="293"/>
      <c r="X639" s="293"/>
      <c r="Y639" s="293"/>
      <c r="Z639" s="293"/>
      <c r="AA639" s="293"/>
      <c r="AB639" s="293"/>
      <c r="AC639" s="293"/>
      <c r="AD639" s="293"/>
    </row>
    <row r="640" spans="1:30" ht="14.25" customHeight="1" x14ac:dyDescent="0.3">
      <c r="A640" s="293"/>
      <c r="B640" s="293"/>
      <c r="C640" s="293"/>
      <c r="D640" s="293"/>
      <c r="E640" s="293"/>
      <c r="F640" s="293"/>
      <c r="G640" s="293"/>
      <c r="H640" s="293"/>
      <c r="I640" s="293"/>
      <c r="J640" s="293"/>
      <c r="K640" s="293"/>
      <c r="L640" s="293"/>
      <c r="M640" s="293"/>
      <c r="N640" s="293"/>
      <c r="O640" s="293"/>
      <c r="P640" s="293"/>
      <c r="Q640" s="293"/>
      <c r="R640" s="293"/>
      <c r="S640" s="293"/>
      <c r="T640" s="293"/>
      <c r="U640" s="293"/>
      <c r="V640" s="293"/>
      <c r="W640" s="293"/>
      <c r="X640" s="293"/>
      <c r="Y640" s="293"/>
      <c r="Z640" s="293"/>
      <c r="AA640" s="293"/>
      <c r="AB640" s="293"/>
      <c r="AC640" s="293"/>
      <c r="AD640" s="293"/>
    </row>
    <row r="641" spans="1:30" ht="14.25" customHeight="1" x14ac:dyDescent="0.3">
      <c r="A641" s="293"/>
      <c r="B641" s="293"/>
      <c r="C641" s="293"/>
      <c r="D641" s="293"/>
      <c r="E641" s="293"/>
      <c r="F641" s="293"/>
      <c r="G641" s="293"/>
      <c r="H641" s="293"/>
      <c r="I641" s="293"/>
      <c r="J641" s="293"/>
      <c r="K641" s="293"/>
      <c r="L641" s="293"/>
      <c r="M641" s="293"/>
      <c r="N641" s="293"/>
      <c r="O641" s="293"/>
      <c r="P641" s="293"/>
      <c r="Q641" s="293"/>
      <c r="R641" s="293"/>
      <c r="S641" s="293"/>
      <c r="T641" s="293"/>
      <c r="U641" s="293"/>
      <c r="V641" s="293"/>
      <c r="W641" s="293"/>
      <c r="X641" s="293"/>
      <c r="Y641" s="293"/>
      <c r="Z641" s="293"/>
      <c r="AA641" s="293"/>
      <c r="AB641" s="293"/>
      <c r="AC641" s="293"/>
      <c r="AD641" s="293"/>
    </row>
    <row r="642" spans="1:30" ht="14.25" customHeight="1" x14ac:dyDescent="0.3">
      <c r="A642" s="293"/>
      <c r="B642" s="293"/>
      <c r="C642" s="293"/>
      <c r="D642" s="293"/>
      <c r="E642" s="293"/>
      <c r="F642" s="293"/>
      <c r="G642" s="293"/>
      <c r="H642" s="293"/>
      <c r="I642" s="293"/>
      <c r="J642" s="293"/>
      <c r="K642" s="293"/>
      <c r="L642" s="293"/>
      <c r="M642" s="293"/>
      <c r="N642" s="293"/>
      <c r="O642" s="293"/>
      <c r="P642" s="293"/>
      <c r="Q642" s="293"/>
      <c r="R642" s="293"/>
      <c r="S642" s="293"/>
      <c r="T642" s="293"/>
      <c r="U642" s="293"/>
      <c r="V642" s="293"/>
      <c r="W642" s="293"/>
      <c r="X642" s="293"/>
      <c r="Y642" s="293"/>
      <c r="Z642" s="293"/>
      <c r="AA642" s="293"/>
      <c r="AB642" s="293"/>
      <c r="AC642" s="293"/>
      <c r="AD642" s="293"/>
    </row>
    <row r="643" spans="1:30" ht="14.25" customHeight="1" x14ac:dyDescent="0.3">
      <c r="A643" s="293"/>
      <c r="B643" s="293"/>
      <c r="C643" s="293"/>
      <c r="D643" s="293"/>
      <c r="E643" s="293"/>
      <c r="F643" s="293"/>
      <c r="G643" s="293"/>
      <c r="H643" s="293"/>
      <c r="I643" s="293"/>
      <c r="J643" s="293"/>
      <c r="K643" s="293"/>
      <c r="L643" s="293"/>
      <c r="M643" s="293"/>
      <c r="N643" s="293"/>
      <c r="O643" s="293"/>
      <c r="P643" s="293"/>
      <c r="Q643" s="293"/>
      <c r="R643" s="293"/>
      <c r="S643" s="293"/>
      <c r="T643" s="293"/>
      <c r="U643" s="293"/>
      <c r="V643" s="293"/>
      <c r="W643" s="293"/>
      <c r="X643" s="293"/>
      <c r="Y643" s="293"/>
      <c r="Z643" s="293"/>
      <c r="AA643" s="293"/>
      <c r="AB643" s="293"/>
      <c r="AC643" s="293"/>
      <c r="AD643" s="293"/>
    </row>
    <row r="644" spans="1:30" ht="14.25" customHeight="1" x14ac:dyDescent="0.3">
      <c r="A644" s="293"/>
      <c r="B644" s="293"/>
      <c r="C644" s="293"/>
      <c r="D644" s="293"/>
      <c r="E644" s="293"/>
      <c r="F644" s="293"/>
      <c r="G644" s="293"/>
      <c r="H644" s="293"/>
      <c r="I644" s="293"/>
      <c r="J644" s="293"/>
      <c r="K644" s="293"/>
      <c r="L644" s="293"/>
      <c r="M644" s="293"/>
      <c r="N644" s="293"/>
      <c r="O644" s="293"/>
      <c r="P644" s="293"/>
      <c r="Q644" s="293"/>
      <c r="R644" s="293"/>
      <c r="S644" s="293"/>
      <c r="T644" s="293"/>
      <c r="U644" s="293"/>
      <c r="V644" s="293"/>
      <c r="W644" s="293"/>
      <c r="X644" s="293"/>
      <c r="Y644" s="293"/>
      <c r="Z644" s="293"/>
      <c r="AA644" s="293"/>
      <c r="AB644" s="293"/>
      <c r="AC644" s="293"/>
      <c r="AD644" s="293"/>
    </row>
    <row r="645" spans="1:30" ht="14.25" customHeight="1" x14ac:dyDescent="0.3">
      <c r="A645" s="293"/>
      <c r="B645" s="293"/>
      <c r="C645" s="293"/>
      <c r="D645" s="293"/>
      <c r="E645" s="293"/>
      <c r="F645" s="293"/>
      <c r="G645" s="293"/>
      <c r="H645" s="293"/>
      <c r="I645" s="293"/>
      <c r="J645" s="293"/>
      <c r="K645" s="293"/>
      <c r="L645" s="293"/>
      <c r="M645" s="293"/>
      <c r="N645" s="293"/>
      <c r="O645" s="293"/>
      <c r="P645" s="293"/>
      <c r="Q645" s="293"/>
      <c r="R645" s="293"/>
      <c r="S645" s="293"/>
      <c r="T645" s="293"/>
      <c r="U645" s="293"/>
      <c r="V645" s="293"/>
      <c r="W645" s="293"/>
      <c r="X645" s="293"/>
      <c r="Y645" s="293"/>
      <c r="Z645" s="293"/>
      <c r="AA645" s="293"/>
      <c r="AB645" s="293"/>
      <c r="AC645" s="293"/>
      <c r="AD645" s="293"/>
    </row>
    <row r="646" spans="1:30" ht="14.25" customHeight="1" x14ac:dyDescent="0.3">
      <c r="A646" s="293"/>
      <c r="B646" s="293"/>
      <c r="C646" s="293"/>
      <c r="D646" s="293"/>
      <c r="E646" s="293"/>
      <c r="F646" s="293"/>
      <c r="G646" s="293"/>
      <c r="H646" s="293"/>
      <c r="I646" s="293"/>
      <c r="J646" s="293"/>
      <c r="K646" s="293"/>
      <c r="L646" s="293"/>
      <c r="M646" s="293"/>
      <c r="N646" s="293"/>
      <c r="O646" s="293"/>
      <c r="P646" s="293"/>
      <c r="Q646" s="293"/>
      <c r="R646" s="293"/>
      <c r="S646" s="293"/>
      <c r="T646" s="293"/>
      <c r="U646" s="293"/>
      <c r="V646" s="293"/>
      <c r="W646" s="293"/>
      <c r="X646" s="293"/>
      <c r="Y646" s="293"/>
      <c r="Z646" s="293"/>
      <c r="AA646" s="293"/>
      <c r="AB646" s="293"/>
      <c r="AC646" s="293"/>
      <c r="AD646" s="293"/>
    </row>
    <row r="647" spans="1:30" ht="14.25" customHeight="1" x14ac:dyDescent="0.3">
      <c r="A647" s="293"/>
      <c r="B647" s="293"/>
      <c r="C647" s="293"/>
      <c r="D647" s="293"/>
      <c r="E647" s="293"/>
      <c r="F647" s="293"/>
      <c r="G647" s="293"/>
      <c r="H647" s="293"/>
      <c r="I647" s="293"/>
      <c r="J647" s="293"/>
      <c r="K647" s="293"/>
      <c r="L647" s="293"/>
      <c r="M647" s="293"/>
      <c r="N647" s="293"/>
      <c r="O647" s="293"/>
      <c r="P647" s="293"/>
      <c r="Q647" s="293"/>
      <c r="R647" s="293"/>
      <c r="S647" s="293"/>
      <c r="T647" s="293"/>
      <c r="U647" s="293"/>
      <c r="V647" s="293"/>
      <c r="W647" s="293"/>
      <c r="X647" s="293"/>
      <c r="Y647" s="293"/>
      <c r="Z647" s="293"/>
      <c r="AA647" s="293"/>
      <c r="AB647" s="293"/>
      <c r="AC647" s="293"/>
      <c r="AD647" s="293"/>
    </row>
    <row r="648" spans="1:30" ht="14.25" customHeight="1" x14ac:dyDescent="0.3">
      <c r="A648" s="293"/>
      <c r="B648" s="293"/>
      <c r="C648" s="293"/>
      <c r="D648" s="293"/>
      <c r="E648" s="293"/>
      <c r="F648" s="293"/>
      <c r="G648" s="293"/>
      <c r="H648" s="293"/>
      <c r="I648" s="293"/>
      <c r="J648" s="293"/>
      <c r="K648" s="293"/>
      <c r="L648" s="293"/>
      <c r="M648" s="293"/>
      <c r="N648" s="293"/>
      <c r="O648" s="293"/>
      <c r="P648" s="293"/>
      <c r="Q648" s="293"/>
      <c r="R648" s="293"/>
      <c r="S648" s="293"/>
      <c r="T648" s="293"/>
      <c r="U648" s="293"/>
      <c r="V648" s="293"/>
      <c r="W648" s="293"/>
      <c r="X648" s="293"/>
      <c r="Y648" s="293"/>
      <c r="Z648" s="293"/>
      <c r="AA648" s="293"/>
      <c r="AB648" s="293"/>
      <c r="AC648" s="293"/>
      <c r="AD648" s="293"/>
    </row>
    <row r="649" spans="1:30" ht="14.25" customHeight="1" x14ac:dyDescent="0.3">
      <c r="A649" s="293"/>
      <c r="B649" s="293"/>
      <c r="C649" s="293"/>
      <c r="D649" s="293"/>
      <c r="E649" s="293"/>
      <c r="F649" s="293"/>
      <c r="G649" s="293"/>
      <c r="H649" s="293"/>
      <c r="I649" s="293"/>
      <c r="J649" s="293"/>
      <c r="K649" s="293"/>
      <c r="L649" s="293"/>
      <c r="M649" s="293"/>
      <c r="N649" s="293"/>
      <c r="O649" s="293"/>
      <c r="P649" s="293"/>
      <c r="Q649" s="293"/>
      <c r="R649" s="293"/>
      <c r="S649" s="293"/>
      <c r="T649" s="293"/>
      <c r="U649" s="293"/>
      <c r="V649" s="293"/>
      <c r="W649" s="293"/>
      <c r="X649" s="293"/>
      <c r="Y649" s="293"/>
      <c r="Z649" s="293"/>
      <c r="AA649" s="293"/>
      <c r="AB649" s="293"/>
      <c r="AC649" s="293"/>
      <c r="AD649" s="293"/>
    </row>
    <row r="650" spans="1:30" ht="14.25" customHeight="1" x14ac:dyDescent="0.3">
      <c r="A650" s="293"/>
      <c r="B650" s="293"/>
      <c r="C650" s="293"/>
      <c r="D650" s="293"/>
      <c r="E650" s="293"/>
      <c r="F650" s="293"/>
      <c r="G650" s="293"/>
      <c r="H650" s="293"/>
      <c r="I650" s="293"/>
      <c r="J650" s="293"/>
      <c r="K650" s="293"/>
      <c r="L650" s="293"/>
      <c r="M650" s="293"/>
      <c r="N650" s="293"/>
      <c r="O650" s="293"/>
      <c r="P650" s="293"/>
      <c r="Q650" s="293"/>
      <c r="R650" s="293"/>
      <c r="S650" s="293"/>
      <c r="T650" s="293"/>
      <c r="U650" s="293"/>
      <c r="V650" s="293"/>
      <c r="W650" s="293"/>
      <c r="X650" s="293"/>
      <c r="Y650" s="293"/>
      <c r="Z650" s="293"/>
      <c r="AA650" s="293"/>
      <c r="AB650" s="293"/>
      <c r="AC650" s="293"/>
      <c r="AD650" s="293"/>
    </row>
    <row r="651" spans="1:30" ht="14.25" customHeight="1" x14ac:dyDescent="0.3">
      <c r="A651" s="293"/>
      <c r="B651" s="293"/>
      <c r="C651" s="293"/>
      <c r="D651" s="293"/>
      <c r="E651" s="293"/>
      <c r="F651" s="293"/>
      <c r="G651" s="293"/>
      <c r="H651" s="293"/>
      <c r="I651" s="293"/>
      <c r="J651" s="293"/>
      <c r="K651" s="293"/>
      <c r="L651" s="293"/>
      <c r="M651" s="293"/>
      <c r="N651" s="293"/>
      <c r="O651" s="293"/>
      <c r="P651" s="293"/>
      <c r="Q651" s="293"/>
      <c r="R651" s="293"/>
      <c r="S651" s="293"/>
      <c r="T651" s="293"/>
      <c r="U651" s="293"/>
      <c r="V651" s="293"/>
      <c r="W651" s="293"/>
      <c r="X651" s="293"/>
      <c r="Y651" s="293"/>
      <c r="Z651" s="293"/>
      <c r="AA651" s="293"/>
      <c r="AB651" s="293"/>
      <c r="AC651" s="293"/>
      <c r="AD651" s="293"/>
    </row>
    <row r="652" spans="1:30" ht="14.25" customHeight="1" x14ac:dyDescent="0.3">
      <c r="A652" s="293"/>
      <c r="B652" s="293"/>
      <c r="C652" s="293"/>
      <c r="D652" s="293"/>
      <c r="E652" s="293"/>
      <c r="F652" s="293"/>
      <c r="G652" s="293"/>
      <c r="H652" s="293"/>
      <c r="I652" s="293"/>
      <c r="J652" s="293"/>
      <c r="K652" s="293"/>
      <c r="L652" s="293"/>
      <c r="M652" s="293"/>
      <c r="N652" s="293"/>
      <c r="O652" s="293"/>
      <c r="P652" s="293"/>
      <c r="Q652" s="293"/>
      <c r="R652" s="293"/>
      <c r="S652" s="293"/>
      <c r="T652" s="293"/>
      <c r="U652" s="293"/>
      <c r="V652" s="293"/>
      <c r="W652" s="293"/>
      <c r="X652" s="293"/>
      <c r="Y652" s="293"/>
      <c r="Z652" s="293"/>
      <c r="AA652" s="293"/>
      <c r="AB652" s="293"/>
      <c r="AC652" s="293"/>
      <c r="AD652" s="293"/>
    </row>
    <row r="653" spans="1:30" ht="14.25" customHeight="1" x14ac:dyDescent="0.3">
      <c r="A653" s="293"/>
      <c r="B653" s="293"/>
      <c r="C653" s="293"/>
      <c r="D653" s="293"/>
      <c r="E653" s="293"/>
      <c r="F653" s="293"/>
      <c r="G653" s="293"/>
      <c r="H653" s="293"/>
      <c r="I653" s="293"/>
      <c r="J653" s="293"/>
      <c r="K653" s="293"/>
      <c r="L653" s="293"/>
      <c r="M653" s="293"/>
      <c r="N653" s="293"/>
      <c r="O653" s="293"/>
      <c r="P653" s="293"/>
      <c r="Q653" s="293"/>
      <c r="R653" s="293"/>
      <c r="S653" s="293"/>
      <c r="T653" s="293"/>
      <c r="U653" s="293"/>
      <c r="V653" s="293"/>
      <c r="W653" s="293"/>
      <c r="X653" s="293"/>
      <c r="Y653" s="293"/>
      <c r="Z653" s="293"/>
      <c r="AA653" s="293"/>
      <c r="AB653" s="293"/>
      <c r="AC653" s="293"/>
      <c r="AD653" s="293"/>
    </row>
    <row r="654" spans="1:30" ht="14.25" customHeight="1" x14ac:dyDescent="0.3">
      <c r="A654" s="293"/>
      <c r="B654" s="293"/>
      <c r="C654" s="293"/>
      <c r="D654" s="293"/>
      <c r="E654" s="293"/>
      <c r="F654" s="293"/>
      <c r="G654" s="293"/>
      <c r="H654" s="293"/>
      <c r="I654" s="293"/>
      <c r="J654" s="293"/>
      <c r="K654" s="293"/>
      <c r="L654" s="293"/>
      <c r="M654" s="293"/>
      <c r="N654" s="293"/>
      <c r="O654" s="293"/>
      <c r="P654" s="293"/>
      <c r="Q654" s="293"/>
      <c r="R654" s="293"/>
      <c r="S654" s="293"/>
      <c r="T654" s="293"/>
      <c r="U654" s="293"/>
      <c r="V654" s="293"/>
      <c r="W654" s="293"/>
      <c r="X654" s="293"/>
      <c r="Y654" s="293"/>
      <c r="Z654" s="293"/>
      <c r="AA654" s="293"/>
      <c r="AB654" s="293"/>
      <c r="AC654" s="293"/>
      <c r="AD654" s="293"/>
    </row>
    <row r="655" spans="1:30" ht="14.25" customHeight="1" x14ac:dyDescent="0.3">
      <c r="A655" s="293"/>
      <c r="B655" s="293"/>
      <c r="C655" s="293"/>
      <c r="D655" s="293"/>
      <c r="E655" s="293"/>
      <c r="F655" s="293"/>
      <c r="G655" s="293"/>
      <c r="H655" s="293"/>
      <c r="I655" s="293"/>
      <c r="J655" s="293"/>
      <c r="K655" s="293"/>
      <c r="L655" s="293"/>
      <c r="M655" s="293"/>
      <c r="N655" s="293"/>
      <c r="O655" s="293"/>
      <c r="P655" s="293"/>
      <c r="Q655" s="293"/>
      <c r="R655" s="293"/>
      <c r="S655" s="293"/>
      <c r="T655" s="293"/>
      <c r="U655" s="293"/>
      <c r="V655" s="293"/>
      <c r="W655" s="293"/>
      <c r="X655" s="293"/>
      <c r="Y655" s="293"/>
      <c r="Z655" s="293"/>
      <c r="AA655" s="293"/>
      <c r="AB655" s="293"/>
      <c r="AC655" s="293"/>
      <c r="AD655" s="293"/>
    </row>
    <row r="656" spans="1:30" ht="14.25" customHeight="1" x14ac:dyDescent="0.3">
      <c r="A656" s="293"/>
      <c r="B656" s="293"/>
      <c r="C656" s="293"/>
      <c r="D656" s="293"/>
      <c r="E656" s="293"/>
      <c r="F656" s="293"/>
      <c r="G656" s="293"/>
      <c r="H656" s="293"/>
      <c r="I656" s="293"/>
      <c r="J656" s="293"/>
      <c r="K656" s="293"/>
      <c r="L656" s="293"/>
      <c r="M656" s="293"/>
      <c r="N656" s="293"/>
      <c r="O656" s="293"/>
      <c r="P656" s="293"/>
      <c r="Q656" s="293"/>
      <c r="R656" s="293"/>
      <c r="S656" s="293"/>
      <c r="T656" s="293"/>
      <c r="U656" s="293"/>
      <c r="V656" s="293"/>
      <c r="W656" s="293"/>
      <c r="X656" s="293"/>
      <c r="Y656" s="293"/>
      <c r="Z656" s="293"/>
      <c r="AA656" s="293"/>
      <c r="AB656" s="293"/>
      <c r="AC656" s="293"/>
      <c r="AD656" s="293"/>
    </row>
    <row r="657" spans="1:30" ht="14.25" customHeight="1" x14ac:dyDescent="0.3">
      <c r="A657" s="293"/>
      <c r="B657" s="293"/>
      <c r="C657" s="293"/>
      <c r="D657" s="293"/>
      <c r="E657" s="293"/>
      <c r="F657" s="293"/>
      <c r="G657" s="293"/>
      <c r="H657" s="293"/>
      <c r="I657" s="293"/>
      <c r="J657" s="293"/>
      <c r="K657" s="293"/>
      <c r="L657" s="293"/>
      <c r="M657" s="293"/>
      <c r="N657" s="293"/>
      <c r="O657" s="293"/>
      <c r="P657" s="293"/>
      <c r="Q657" s="293"/>
      <c r="R657" s="293"/>
      <c r="S657" s="293"/>
      <c r="T657" s="293"/>
      <c r="U657" s="293"/>
      <c r="V657" s="293"/>
      <c r="W657" s="293"/>
      <c r="X657" s="293"/>
      <c r="Y657" s="293"/>
      <c r="Z657" s="293"/>
      <c r="AA657" s="293"/>
      <c r="AB657" s="293"/>
      <c r="AC657" s="293"/>
      <c r="AD657" s="293"/>
    </row>
    <row r="658" spans="1:30" ht="14.25" customHeight="1" x14ac:dyDescent="0.3">
      <c r="A658" s="293"/>
      <c r="B658" s="293"/>
      <c r="C658" s="293"/>
      <c r="D658" s="293"/>
      <c r="E658" s="293"/>
      <c r="F658" s="293"/>
      <c r="G658" s="293"/>
      <c r="H658" s="293"/>
      <c r="I658" s="293"/>
      <c r="J658" s="293"/>
      <c r="K658" s="293"/>
      <c r="L658" s="293"/>
      <c r="M658" s="293"/>
      <c r="N658" s="293"/>
      <c r="O658" s="293"/>
      <c r="P658" s="293"/>
      <c r="Q658" s="293"/>
      <c r="R658" s="293"/>
      <c r="S658" s="293"/>
      <c r="T658" s="293"/>
      <c r="U658" s="293"/>
      <c r="V658" s="293"/>
      <c r="W658" s="293"/>
      <c r="X658" s="293"/>
      <c r="Y658" s="293"/>
      <c r="Z658" s="293"/>
      <c r="AA658" s="293"/>
      <c r="AB658" s="293"/>
      <c r="AC658" s="293"/>
      <c r="AD658" s="293"/>
    </row>
    <row r="659" spans="1:30" ht="14.25" customHeight="1" x14ac:dyDescent="0.3">
      <c r="A659" s="293"/>
      <c r="B659" s="293"/>
      <c r="C659" s="293"/>
      <c r="D659" s="293"/>
      <c r="E659" s="293"/>
      <c r="F659" s="293"/>
      <c r="G659" s="293"/>
      <c r="H659" s="293"/>
      <c r="I659" s="293"/>
      <c r="J659" s="293"/>
      <c r="K659" s="293"/>
      <c r="L659" s="293"/>
      <c r="M659" s="293"/>
      <c r="N659" s="293"/>
      <c r="O659" s="293"/>
      <c r="P659" s="293"/>
      <c r="Q659" s="293"/>
      <c r="R659" s="293"/>
      <c r="S659" s="293"/>
      <c r="T659" s="293"/>
      <c r="U659" s="293"/>
      <c r="V659" s="293"/>
      <c r="W659" s="293"/>
      <c r="X659" s="293"/>
      <c r="Y659" s="293"/>
      <c r="Z659" s="293"/>
      <c r="AA659" s="293"/>
      <c r="AB659" s="293"/>
      <c r="AC659" s="293"/>
      <c r="AD659" s="293"/>
    </row>
    <row r="660" spans="1:30" ht="14.25" customHeight="1" x14ac:dyDescent="0.3">
      <c r="A660" s="293"/>
      <c r="B660" s="293"/>
      <c r="C660" s="293"/>
      <c r="D660" s="293"/>
      <c r="E660" s="293"/>
      <c r="F660" s="293"/>
      <c r="G660" s="293"/>
      <c r="H660" s="293"/>
      <c r="I660" s="293"/>
      <c r="J660" s="293"/>
      <c r="K660" s="293"/>
      <c r="L660" s="293"/>
      <c r="M660" s="293"/>
      <c r="N660" s="293"/>
      <c r="O660" s="293"/>
      <c r="P660" s="293"/>
      <c r="Q660" s="293"/>
      <c r="R660" s="293"/>
      <c r="S660" s="293"/>
      <c r="T660" s="293"/>
      <c r="U660" s="293"/>
      <c r="V660" s="293"/>
      <c r="W660" s="293"/>
      <c r="X660" s="293"/>
      <c r="Y660" s="293"/>
      <c r="Z660" s="293"/>
      <c r="AA660" s="293"/>
      <c r="AB660" s="293"/>
      <c r="AC660" s="293"/>
      <c r="AD660" s="293"/>
    </row>
    <row r="661" spans="1:30" ht="14.25" customHeight="1" x14ac:dyDescent="0.3">
      <c r="A661" s="293"/>
      <c r="B661" s="293"/>
      <c r="C661" s="293"/>
      <c r="D661" s="293"/>
      <c r="E661" s="293"/>
      <c r="F661" s="293"/>
      <c r="G661" s="293"/>
      <c r="H661" s="293"/>
      <c r="I661" s="293"/>
      <c r="J661" s="293"/>
      <c r="K661" s="293"/>
      <c r="L661" s="293"/>
      <c r="M661" s="293"/>
      <c r="N661" s="293"/>
      <c r="O661" s="293"/>
      <c r="P661" s="293"/>
      <c r="Q661" s="293"/>
      <c r="R661" s="293"/>
      <c r="S661" s="293"/>
      <c r="T661" s="293"/>
      <c r="U661" s="293"/>
      <c r="V661" s="293"/>
      <c r="W661" s="293"/>
      <c r="X661" s="293"/>
      <c r="Y661" s="293"/>
      <c r="Z661" s="293"/>
      <c r="AA661" s="293"/>
      <c r="AB661" s="293"/>
      <c r="AC661" s="293"/>
      <c r="AD661" s="293"/>
    </row>
    <row r="662" spans="1:30" ht="14.25" customHeight="1" x14ac:dyDescent="0.3">
      <c r="A662" s="293"/>
      <c r="B662" s="293"/>
      <c r="C662" s="293"/>
      <c r="D662" s="293"/>
      <c r="E662" s="293"/>
      <c r="F662" s="293"/>
      <c r="G662" s="293"/>
      <c r="H662" s="293"/>
      <c r="I662" s="293"/>
      <c r="J662" s="293"/>
      <c r="K662" s="293"/>
      <c r="L662" s="293"/>
      <c r="M662" s="293"/>
      <c r="N662" s="293"/>
      <c r="O662" s="293"/>
      <c r="P662" s="293"/>
      <c r="Q662" s="293"/>
      <c r="R662" s="293"/>
      <c r="S662" s="293"/>
      <c r="T662" s="293"/>
      <c r="U662" s="293"/>
      <c r="V662" s="293"/>
      <c r="W662" s="293"/>
      <c r="X662" s="293"/>
      <c r="Y662" s="293"/>
      <c r="Z662" s="293"/>
      <c r="AA662" s="293"/>
      <c r="AB662" s="293"/>
      <c r="AC662" s="293"/>
      <c r="AD662" s="293"/>
    </row>
    <row r="663" spans="1:30" ht="14.25" customHeight="1" x14ac:dyDescent="0.3">
      <c r="A663" s="293"/>
      <c r="B663" s="293"/>
      <c r="C663" s="293"/>
      <c r="D663" s="293"/>
      <c r="E663" s="293"/>
      <c r="F663" s="293"/>
      <c r="G663" s="293"/>
      <c r="H663" s="293"/>
      <c r="I663" s="293"/>
      <c r="J663" s="293"/>
      <c r="K663" s="293"/>
      <c r="L663" s="293"/>
      <c r="M663" s="293"/>
      <c r="N663" s="293"/>
      <c r="O663" s="293"/>
      <c r="P663" s="293"/>
      <c r="Q663" s="293"/>
      <c r="R663" s="293"/>
      <c r="S663" s="293"/>
      <c r="T663" s="293"/>
      <c r="U663" s="293"/>
      <c r="V663" s="293"/>
      <c r="W663" s="293"/>
      <c r="X663" s="293"/>
      <c r="Y663" s="293"/>
      <c r="Z663" s="293"/>
      <c r="AA663" s="293"/>
      <c r="AB663" s="293"/>
      <c r="AC663" s="293"/>
      <c r="AD663" s="293"/>
    </row>
    <row r="664" spans="1:30" ht="14.25" customHeight="1" x14ac:dyDescent="0.3">
      <c r="A664" s="293"/>
      <c r="B664" s="293"/>
      <c r="C664" s="293"/>
      <c r="D664" s="293"/>
      <c r="E664" s="293"/>
      <c r="F664" s="293"/>
      <c r="G664" s="293"/>
      <c r="H664" s="293"/>
      <c r="I664" s="293"/>
      <c r="J664" s="293"/>
      <c r="K664" s="293"/>
      <c r="L664" s="293"/>
      <c r="M664" s="293"/>
      <c r="N664" s="293"/>
      <c r="O664" s="293"/>
      <c r="P664" s="293"/>
      <c r="Q664" s="293"/>
      <c r="R664" s="293"/>
      <c r="S664" s="293"/>
      <c r="T664" s="293"/>
      <c r="U664" s="293"/>
      <c r="V664" s="293"/>
      <c r="W664" s="293"/>
      <c r="X664" s="293"/>
      <c r="Y664" s="293"/>
      <c r="Z664" s="293"/>
      <c r="AA664" s="293"/>
      <c r="AB664" s="293"/>
      <c r="AC664" s="293"/>
      <c r="AD664" s="293"/>
    </row>
    <row r="665" spans="1:30" ht="14.25" customHeight="1" x14ac:dyDescent="0.3">
      <c r="A665" s="293"/>
      <c r="B665" s="293"/>
      <c r="C665" s="293"/>
      <c r="D665" s="293"/>
      <c r="E665" s="293"/>
      <c r="F665" s="293"/>
      <c r="G665" s="293"/>
      <c r="H665" s="293"/>
      <c r="I665" s="293"/>
      <c r="J665" s="293"/>
      <c r="K665" s="293"/>
      <c r="L665" s="293"/>
      <c r="M665" s="293"/>
      <c r="N665" s="293"/>
      <c r="O665" s="293"/>
      <c r="P665" s="293"/>
      <c r="Q665" s="293"/>
      <c r="R665" s="293"/>
      <c r="S665" s="293"/>
      <c r="T665" s="293"/>
      <c r="U665" s="293"/>
      <c r="V665" s="293"/>
      <c r="W665" s="293"/>
      <c r="X665" s="293"/>
      <c r="Y665" s="293"/>
      <c r="Z665" s="293"/>
      <c r="AA665" s="293"/>
      <c r="AB665" s="293"/>
      <c r="AC665" s="293"/>
      <c r="AD665" s="293"/>
    </row>
    <row r="666" spans="1:30" ht="14.25" customHeight="1" x14ac:dyDescent="0.3">
      <c r="A666" s="293"/>
      <c r="B666" s="293"/>
      <c r="C666" s="293"/>
      <c r="D666" s="293"/>
      <c r="E666" s="293"/>
      <c r="F666" s="293"/>
      <c r="G666" s="293"/>
      <c r="H666" s="293"/>
      <c r="I666" s="293"/>
      <c r="J666" s="293"/>
      <c r="K666" s="293"/>
      <c r="L666" s="293"/>
      <c r="M666" s="293"/>
      <c r="N666" s="293"/>
      <c r="O666" s="293"/>
      <c r="P666" s="293"/>
      <c r="Q666" s="293"/>
      <c r="R666" s="293"/>
      <c r="S666" s="293"/>
      <c r="T666" s="293"/>
      <c r="U666" s="293"/>
      <c r="V666" s="293"/>
      <c r="W666" s="293"/>
      <c r="X666" s="293"/>
      <c r="Y666" s="293"/>
      <c r="Z666" s="293"/>
      <c r="AA666" s="293"/>
      <c r="AB666" s="293"/>
      <c r="AC666" s="293"/>
      <c r="AD666" s="293"/>
    </row>
    <row r="667" spans="1:30" ht="14.25" customHeight="1" x14ac:dyDescent="0.3">
      <c r="A667" s="293"/>
      <c r="B667" s="293"/>
      <c r="C667" s="293"/>
      <c r="D667" s="293"/>
      <c r="E667" s="293"/>
      <c r="F667" s="293"/>
      <c r="G667" s="293"/>
      <c r="H667" s="293"/>
      <c r="I667" s="293"/>
      <c r="J667" s="293"/>
      <c r="K667" s="293"/>
      <c r="L667" s="293"/>
      <c r="M667" s="293"/>
      <c r="N667" s="293"/>
      <c r="O667" s="293"/>
      <c r="P667" s="293"/>
      <c r="Q667" s="293"/>
      <c r="R667" s="293"/>
      <c r="S667" s="293"/>
      <c r="T667" s="293"/>
      <c r="U667" s="293"/>
      <c r="V667" s="293"/>
      <c r="W667" s="293"/>
      <c r="X667" s="293"/>
      <c r="Y667" s="293"/>
      <c r="Z667" s="293"/>
      <c r="AA667" s="293"/>
      <c r="AB667" s="293"/>
      <c r="AC667" s="293"/>
      <c r="AD667" s="293"/>
    </row>
    <row r="668" spans="1:30" ht="14.25" customHeight="1" x14ac:dyDescent="0.3">
      <c r="A668" s="293"/>
      <c r="B668" s="293"/>
      <c r="C668" s="293"/>
      <c r="D668" s="293"/>
      <c r="E668" s="293"/>
      <c r="F668" s="293"/>
      <c r="G668" s="293"/>
      <c r="H668" s="293"/>
      <c r="I668" s="293"/>
      <c r="J668" s="293"/>
      <c r="K668" s="293"/>
      <c r="L668" s="293"/>
      <c r="M668" s="293"/>
      <c r="N668" s="293"/>
      <c r="O668" s="293"/>
      <c r="P668" s="293"/>
      <c r="Q668" s="293"/>
      <c r="R668" s="293"/>
      <c r="S668" s="293"/>
      <c r="T668" s="293"/>
      <c r="U668" s="293"/>
      <c r="V668" s="293"/>
      <c r="W668" s="293"/>
      <c r="X668" s="293"/>
      <c r="Y668" s="293"/>
      <c r="Z668" s="293"/>
      <c r="AA668" s="293"/>
      <c r="AB668" s="293"/>
      <c r="AC668" s="293"/>
      <c r="AD668" s="293"/>
    </row>
    <row r="669" spans="1:30" ht="14.25" customHeight="1" x14ac:dyDescent="0.3">
      <c r="A669" s="293"/>
      <c r="B669" s="293"/>
      <c r="C669" s="293"/>
      <c r="D669" s="293"/>
      <c r="E669" s="293"/>
      <c r="F669" s="293"/>
      <c r="G669" s="293"/>
      <c r="H669" s="293"/>
      <c r="I669" s="293"/>
      <c r="J669" s="293"/>
      <c r="K669" s="293"/>
      <c r="L669" s="293"/>
      <c r="M669" s="293"/>
      <c r="N669" s="293"/>
      <c r="O669" s="293"/>
      <c r="P669" s="293"/>
      <c r="Q669" s="293"/>
      <c r="R669" s="293"/>
      <c r="S669" s="293"/>
      <c r="T669" s="293"/>
      <c r="U669" s="293"/>
      <c r="V669" s="293"/>
      <c r="W669" s="293"/>
      <c r="X669" s="293"/>
      <c r="Y669" s="293"/>
      <c r="Z669" s="293"/>
      <c r="AA669" s="293"/>
      <c r="AB669" s="293"/>
      <c r="AC669" s="293"/>
      <c r="AD669" s="293"/>
    </row>
    <row r="670" spans="1:30" ht="14.25" customHeight="1" x14ac:dyDescent="0.3">
      <c r="A670" s="293"/>
      <c r="B670" s="293"/>
      <c r="C670" s="293"/>
      <c r="D670" s="293"/>
      <c r="E670" s="293"/>
      <c r="F670" s="293"/>
      <c r="G670" s="293"/>
      <c r="H670" s="293"/>
      <c r="I670" s="293"/>
      <c r="J670" s="293"/>
      <c r="K670" s="293"/>
      <c r="L670" s="293"/>
      <c r="M670" s="293"/>
      <c r="N670" s="293"/>
      <c r="O670" s="293"/>
      <c r="P670" s="293"/>
      <c r="Q670" s="293"/>
      <c r="R670" s="293"/>
      <c r="S670" s="293"/>
      <c r="T670" s="293"/>
      <c r="U670" s="293"/>
      <c r="V670" s="293"/>
      <c r="W670" s="293"/>
      <c r="X670" s="293"/>
      <c r="Y670" s="293"/>
      <c r="Z670" s="293"/>
      <c r="AA670" s="293"/>
      <c r="AB670" s="293"/>
      <c r="AC670" s="293"/>
      <c r="AD670" s="293"/>
    </row>
    <row r="671" spans="1:30" ht="14.25" customHeight="1" x14ac:dyDescent="0.3">
      <c r="A671" s="293"/>
      <c r="B671" s="293"/>
      <c r="C671" s="293"/>
      <c r="D671" s="293"/>
      <c r="E671" s="293"/>
      <c r="F671" s="293"/>
      <c r="G671" s="293"/>
      <c r="H671" s="293"/>
      <c r="I671" s="293"/>
      <c r="J671" s="293"/>
      <c r="K671" s="293"/>
      <c r="L671" s="293"/>
      <c r="M671" s="293"/>
      <c r="N671" s="293"/>
      <c r="O671" s="293"/>
      <c r="P671" s="293"/>
      <c r="Q671" s="293"/>
      <c r="R671" s="293"/>
      <c r="S671" s="293"/>
      <c r="T671" s="293"/>
      <c r="U671" s="293"/>
      <c r="V671" s="293"/>
      <c r="W671" s="293"/>
      <c r="X671" s="293"/>
      <c r="Y671" s="293"/>
      <c r="Z671" s="293"/>
      <c r="AA671" s="293"/>
      <c r="AB671" s="293"/>
      <c r="AC671" s="293"/>
      <c r="AD671" s="293"/>
    </row>
    <row r="672" spans="1:30" ht="14.25" customHeight="1" x14ac:dyDescent="0.3">
      <c r="A672" s="293"/>
      <c r="B672" s="293"/>
      <c r="C672" s="293"/>
      <c r="D672" s="293"/>
      <c r="E672" s="293"/>
      <c r="F672" s="293"/>
      <c r="G672" s="293"/>
      <c r="H672" s="293"/>
      <c r="I672" s="293"/>
      <c r="J672" s="293"/>
      <c r="K672" s="293"/>
      <c r="L672" s="293"/>
      <c r="M672" s="293"/>
      <c r="N672" s="293"/>
      <c r="O672" s="293"/>
      <c r="P672" s="293"/>
      <c r="Q672" s="293"/>
      <c r="R672" s="293"/>
      <c r="S672" s="293"/>
      <c r="T672" s="293"/>
      <c r="U672" s="293"/>
      <c r="V672" s="293"/>
      <c r="W672" s="293"/>
      <c r="X672" s="293"/>
      <c r="Y672" s="293"/>
      <c r="Z672" s="293"/>
      <c r="AA672" s="293"/>
      <c r="AB672" s="293"/>
      <c r="AC672" s="293"/>
      <c r="AD672" s="293"/>
    </row>
    <row r="673" spans="1:30" ht="14.25" customHeight="1" x14ac:dyDescent="0.3">
      <c r="A673" s="293"/>
      <c r="B673" s="293"/>
      <c r="C673" s="293"/>
      <c r="D673" s="293"/>
      <c r="E673" s="293"/>
      <c r="F673" s="293"/>
      <c r="G673" s="293"/>
      <c r="H673" s="293"/>
      <c r="I673" s="293"/>
      <c r="J673" s="293"/>
      <c r="K673" s="293"/>
      <c r="L673" s="293"/>
      <c r="M673" s="293"/>
      <c r="N673" s="293"/>
      <c r="O673" s="293"/>
      <c r="P673" s="293"/>
      <c r="Q673" s="293"/>
      <c r="R673" s="293"/>
      <c r="S673" s="293"/>
      <c r="T673" s="293"/>
      <c r="U673" s="293"/>
      <c r="V673" s="293"/>
      <c r="W673" s="293"/>
      <c r="X673" s="293"/>
      <c r="Y673" s="293"/>
      <c r="Z673" s="293"/>
      <c r="AA673" s="293"/>
      <c r="AB673" s="293"/>
      <c r="AC673" s="293"/>
      <c r="AD673" s="293"/>
    </row>
    <row r="674" spans="1:30" ht="14.25" customHeight="1" x14ac:dyDescent="0.3">
      <c r="A674" s="293"/>
      <c r="B674" s="293"/>
      <c r="C674" s="293"/>
      <c r="D674" s="293"/>
      <c r="E674" s="293"/>
      <c r="F674" s="293"/>
      <c r="G674" s="293"/>
      <c r="H674" s="293"/>
      <c r="I674" s="293"/>
      <c r="J674" s="293"/>
      <c r="K674" s="293"/>
      <c r="L674" s="293"/>
      <c r="M674" s="293"/>
      <c r="N674" s="293"/>
      <c r="O674" s="293"/>
      <c r="P674" s="293"/>
      <c r="Q674" s="293"/>
      <c r="R674" s="293"/>
      <c r="S674" s="293"/>
      <c r="T674" s="293"/>
      <c r="U674" s="293"/>
      <c r="V674" s="293"/>
      <c r="W674" s="293"/>
      <c r="X674" s="293"/>
      <c r="Y674" s="293"/>
      <c r="Z674" s="293"/>
      <c r="AA674" s="293"/>
      <c r="AB674" s="293"/>
      <c r="AC674" s="293"/>
      <c r="AD674" s="293"/>
    </row>
    <row r="675" spans="1:30" ht="14.25" customHeight="1" x14ac:dyDescent="0.3">
      <c r="A675" s="293"/>
      <c r="B675" s="293"/>
      <c r="C675" s="293"/>
      <c r="D675" s="293"/>
      <c r="E675" s="293"/>
      <c r="F675" s="293"/>
      <c r="G675" s="293"/>
      <c r="H675" s="293"/>
      <c r="I675" s="293"/>
      <c r="J675" s="293"/>
      <c r="K675" s="293"/>
      <c r="L675" s="293"/>
      <c r="M675" s="293"/>
      <c r="N675" s="293"/>
      <c r="O675" s="293"/>
      <c r="P675" s="293"/>
      <c r="Q675" s="293"/>
      <c r="R675" s="293"/>
      <c r="S675" s="293"/>
      <c r="T675" s="293"/>
      <c r="U675" s="293"/>
      <c r="V675" s="293"/>
      <c r="W675" s="293"/>
      <c r="X675" s="293"/>
      <c r="Y675" s="293"/>
      <c r="Z675" s="293"/>
      <c r="AA675" s="293"/>
      <c r="AB675" s="293"/>
      <c r="AC675" s="293"/>
      <c r="AD675" s="293"/>
    </row>
    <row r="676" spans="1:30" ht="14.25" customHeight="1" x14ac:dyDescent="0.3">
      <c r="A676" s="293"/>
      <c r="B676" s="293"/>
      <c r="C676" s="293"/>
      <c r="D676" s="293"/>
      <c r="E676" s="293"/>
      <c r="F676" s="293"/>
      <c r="G676" s="293"/>
      <c r="H676" s="293"/>
      <c r="I676" s="293"/>
      <c r="J676" s="293"/>
      <c r="K676" s="293"/>
      <c r="L676" s="293"/>
      <c r="M676" s="293"/>
      <c r="N676" s="293"/>
      <c r="O676" s="293"/>
      <c r="P676" s="293"/>
      <c r="Q676" s="293"/>
      <c r="R676" s="293"/>
      <c r="S676" s="293"/>
      <c r="T676" s="293"/>
      <c r="U676" s="293"/>
      <c r="V676" s="293"/>
      <c r="W676" s="293"/>
      <c r="X676" s="293"/>
      <c r="Y676" s="293"/>
      <c r="Z676" s="293"/>
      <c r="AA676" s="293"/>
      <c r="AB676" s="293"/>
      <c r="AC676" s="293"/>
      <c r="AD676" s="293"/>
    </row>
    <row r="677" spans="1:30" ht="14.25" customHeight="1" x14ac:dyDescent="0.3">
      <c r="A677" s="293"/>
      <c r="B677" s="293"/>
      <c r="C677" s="293"/>
      <c r="D677" s="293"/>
      <c r="E677" s="293"/>
      <c r="F677" s="293"/>
      <c r="G677" s="293"/>
      <c r="H677" s="293"/>
      <c r="I677" s="293"/>
      <c r="J677" s="293"/>
      <c r="K677" s="293"/>
      <c r="L677" s="293"/>
      <c r="M677" s="293"/>
      <c r="N677" s="293"/>
      <c r="O677" s="293"/>
      <c r="P677" s="293"/>
      <c r="Q677" s="293"/>
      <c r="R677" s="293"/>
      <c r="S677" s="293"/>
      <c r="T677" s="293"/>
      <c r="U677" s="293"/>
      <c r="V677" s="293"/>
      <c r="W677" s="293"/>
      <c r="X677" s="293"/>
      <c r="Y677" s="293"/>
      <c r="Z677" s="293"/>
      <c r="AA677" s="293"/>
      <c r="AB677" s="293"/>
      <c r="AC677" s="293"/>
      <c r="AD677" s="293"/>
    </row>
    <row r="678" spans="1:30" ht="14.25" customHeight="1" x14ac:dyDescent="0.3">
      <c r="A678" s="293"/>
      <c r="B678" s="293"/>
      <c r="C678" s="293"/>
      <c r="D678" s="293"/>
      <c r="E678" s="293"/>
      <c r="F678" s="293"/>
      <c r="G678" s="293"/>
      <c r="H678" s="293"/>
      <c r="I678" s="293"/>
      <c r="J678" s="293"/>
      <c r="K678" s="293"/>
      <c r="L678" s="293"/>
      <c r="M678" s="293"/>
      <c r="N678" s="293"/>
      <c r="O678" s="293"/>
      <c r="P678" s="293"/>
      <c r="Q678" s="293"/>
      <c r="R678" s="293"/>
      <c r="S678" s="293"/>
      <c r="T678" s="293"/>
      <c r="U678" s="293"/>
      <c r="V678" s="293"/>
      <c r="W678" s="293"/>
      <c r="X678" s="293"/>
      <c r="Y678" s="293"/>
      <c r="Z678" s="293"/>
      <c r="AA678" s="293"/>
      <c r="AB678" s="293"/>
      <c r="AC678" s="293"/>
      <c r="AD678" s="293"/>
    </row>
    <row r="679" spans="1:30" ht="14.25" customHeight="1" x14ac:dyDescent="0.3">
      <c r="A679" s="293"/>
      <c r="B679" s="293"/>
      <c r="C679" s="293"/>
      <c r="D679" s="293"/>
      <c r="E679" s="293"/>
      <c r="F679" s="293"/>
      <c r="G679" s="293"/>
      <c r="H679" s="293"/>
      <c r="I679" s="293"/>
      <c r="J679" s="293"/>
      <c r="K679" s="293"/>
      <c r="L679" s="293"/>
      <c r="M679" s="293"/>
      <c r="N679" s="293"/>
      <c r="O679" s="293"/>
      <c r="P679" s="293"/>
      <c r="Q679" s="293"/>
      <c r="R679" s="293"/>
      <c r="S679" s="293"/>
      <c r="T679" s="293"/>
      <c r="U679" s="293"/>
      <c r="V679" s="293"/>
      <c r="W679" s="293"/>
      <c r="X679" s="293"/>
      <c r="Y679" s="293"/>
      <c r="Z679" s="293"/>
      <c r="AA679" s="293"/>
      <c r="AB679" s="293"/>
      <c r="AC679" s="293"/>
      <c r="AD679" s="293"/>
    </row>
    <row r="680" spans="1:30" ht="14.25" customHeight="1" x14ac:dyDescent="0.3">
      <c r="A680" s="293"/>
      <c r="B680" s="293"/>
      <c r="C680" s="293"/>
      <c r="D680" s="293"/>
      <c r="E680" s="293"/>
      <c r="F680" s="293"/>
      <c r="G680" s="293"/>
      <c r="H680" s="293"/>
      <c r="I680" s="293"/>
      <c r="J680" s="293"/>
      <c r="K680" s="293"/>
      <c r="L680" s="293"/>
      <c r="M680" s="293"/>
      <c r="N680" s="293"/>
      <c r="O680" s="293"/>
      <c r="P680" s="293"/>
      <c r="Q680" s="293"/>
      <c r="R680" s="293"/>
      <c r="S680" s="293"/>
      <c r="T680" s="293"/>
      <c r="U680" s="293"/>
      <c r="V680" s="293"/>
      <c r="W680" s="293"/>
      <c r="X680" s="293"/>
      <c r="Y680" s="293"/>
      <c r="Z680" s="293"/>
      <c r="AA680" s="293"/>
      <c r="AB680" s="293"/>
      <c r="AC680" s="293"/>
      <c r="AD680" s="293"/>
    </row>
    <row r="681" spans="1:30" ht="14.25" customHeight="1" x14ac:dyDescent="0.3">
      <c r="A681" s="293"/>
      <c r="B681" s="293"/>
      <c r="C681" s="293"/>
      <c r="D681" s="293"/>
      <c r="E681" s="293"/>
      <c r="F681" s="293"/>
      <c r="G681" s="293"/>
      <c r="H681" s="293"/>
      <c r="I681" s="293"/>
      <c r="J681" s="293"/>
      <c r="K681" s="293"/>
      <c r="L681" s="293"/>
      <c r="M681" s="293"/>
      <c r="N681" s="293"/>
      <c r="O681" s="293"/>
      <c r="P681" s="293"/>
      <c r="Q681" s="293"/>
      <c r="R681" s="293"/>
      <c r="S681" s="293"/>
      <c r="T681" s="293"/>
      <c r="U681" s="293"/>
      <c r="V681" s="293"/>
      <c r="W681" s="293"/>
      <c r="X681" s="293"/>
      <c r="Y681" s="293"/>
      <c r="Z681" s="293"/>
      <c r="AA681" s="293"/>
      <c r="AB681" s="293"/>
      <c r="AC681" s="293"/>
      <c r="AD681" s="293"/>
    </row>
    <row r="682" spans="1:30" ht="14.25" customHeight="1" x14ac:dyDescent="0.3">
      <c r="A682" s="293"/>
      <c r="B682" s="293"/>
      <c r="C682" s="293"/>
      <c r="D682" s="293"/>
      <c r="E682" s="293"/>
      <c r="F682" s="293"/>
      <c r="G682" s="293"/>
      <c r="H682" s="293"/>
      <c r="I682" s="293"/>
      <c r="J682" s="293"/>
      <c r="K682" s="293"/>
      <c r="L682" s="293"/>
      <c r="M682" s="293"/>
      <c r="N682" s="293"/>
      <c r="O682" s="293"/>
      <c r="P682" s="293"/>
      <c r="Q682" s="293"/>
      <c r="R682" s="293"/>
      <c r="S682" s="293"/>
      <c r="T682" s="293"/>
      <c r="U682" s="293"/>
      <c r="V682" s="293"/>
      <c r="W682" s="293"/>
      <c r="X682" s="293"/>
      <c r="Y682" s="293"/>
      <c r="Z682" s="293"/>
      <c r="AA682" s="293"/>
      <c r="AB682" s="293"/>
      <c r="AC682" s="293"/>
      <c r="AD682" s="293"/>
    </row>
    <row r="683" spans="1:30" ht="14.25" customHeight="1" x14ac:dyDescent="0.3">
      <c r="A683" s="293"/>
      <c r="B683" s="293"/>
      <c r="C683" s="293"/>
      <c r="D683" s="293"/>
      <c r="E683" s="293"/>
      <c r="F683" s="293"/>
      <c r="G683" s="293"/>
      <c r="H683" s="293"/>
      <c r="I683" s="293"/>
      <c r="J683" s="293"/>
      <c r="K683" s="293"/>
      <c r="L683" s="293"/>
      <c r="M683" s="293"/>
      <c r="N683" s="293"/>
      <c r="O683" s="293"/>
      <c r="P683" s="293"/>
      <c r="Q683" s="293"/>
      <c r="R683" s="293"/>
      <c r="S683" s="293"/>
      <c r="T683" s="293"/>
      <c r="U683" s="293"/>
      <c r="V683" s="293"/>
      <c r="W683" s="293"/>
      <c r="X683" s="293"/>
      <c r="Y683" s="293"/>
      <c r="Z683" s="293"/>
      <c r="AA683" s="293"/>
      <c r="AB683" s="293"/>
      <c r="AC683" s="293"/>
      <c r="AD683" s="293"/>
    </row>
    <row r="684" spans="1:30" ht="14.25" customHeight="1" x14ac:dyDescent="0.3">
      <c r="A684" s="293"/>
      <c r="B684" s="293"/>
      <c r="C684" s="293"/>
      <c r="D684" s="293"/>
      <c r="E684" s="293"/>
      <c r="F684" s="293"/>
      <c r="G684" s="293"/>
      <c r="H684" s="293"/>
      <c r="I684" s="293"/>
      <c r="J684" s="293"/>
      <c r="K684" s="293"/>
      <c r="L684" s="293"/>
      <c r="M684" s="293"/>
      <c r="N684" s="293"/>
      <c r="O684" s="293"/>
      <c r="P684" s="293"/>
      <c r="Q684" s="293"/>
      <c r="R684" s="293"/>
      <c r="S684" s="293"/>
      <c r="T684" s="293"/>
      <c r="U684" s="293"/>
      <c r="V684" s="293"/>
      <c r="W684" s="293"/>
      <c r="X684" s="293"/>
      <c r="Y684" s="293"/>
      <c r="Z684" s="293"/>
      <c r="AA684" s="293"/>
      <c r="AB684" s="293"/>
      <c r="AC684" s="293"/>
      <c r="AD684" s="293"/>
    </row>
    <row r="685" spans="1:30" ht="14.25" customHeight="1" x14ac:dyDescent="0.3">
      <c r="A685" s="293"/>
      <c r="B685" s="293"/>
      <c r="C685" s="293"/>
      <c r="D685" s="293"/>
      <c r="E685" s="293"/>
      <c r="F685" s="293"/>
      <c r="G685" s="293"/>
      <c r="H685" s="293"/>
      <c r="I685" s="293"/>
      <c r="J685" s="293"/>
      <c r="K685" s="293"/>
      <c r="L685" s="293"/>
      <c r="M685" s="293"/>
      <c r="N685" s="293"/>
      <c r="O685" s="293"/>
      <c r="P685" s="293"/>
      <c r="Q685" s="293"/>
      <c r="R685" s="293"/>
      <c r="S685" s="293"/>
      <c r="T685" s="293"/>
      <c r="U685" s="293"/>
      <c r="V685" s="293"/>
      <c r="W685" s="293"/>
      <c r="X685" s="293"/>
      <c r="Y685" s="293"/>
      <c r="Z685" s="293"/>
      <c r="AA685" s="293"/>
      <c r="AB685" s="293"/>
      <c r="AC685" s="293"/>
      <c r="AD685" s="293"/>
    </row>
    <row r="686" spans="1:30" ht="14.25" customHeight="1" x14ac:dyDescent="0.3">
      <c r="A686" s="293"/>
      <c r="B686" s="293"/>
      <c r="C686" s="293"/>
      <c r="D686" s="293"/>
      <c r="E686" s="293"/>
      <c r="F686" s="293"/>
      <c r="G686" s="293"/>
      <c r="H686" s="293"/>
      <c r="I686" s="293"/>
      <c r="J686" s="293"/>
      <c r="K686" s="293"/>
      <c r="L686" s="293"/>
      <c r="M686" s="293"/>
      <c r="N686" s="293"/>
      <c r="O686" s="293"/>
      <c r="P686" s="293"/>
      <c r="Q686" s="293"/>
      <c r="R686" s="293"/>
      <c r="S686" s="293"/>
      <c r="T686" s="293"/>
      <c r="U686" s="293"/>
      <c r="V686" s="293"/>
      <c r="W686" s="293"/>
      <c r="X686" s="293"/>
      <c r="Y686" s="293"/>
      <c r="Z686" s="293"/>
      <c r="AA686" s="293"/>
      <c r="AB686" s="293"/>
      <c r="AC686" s="293"/>
      <c r="AD686" s="293"/>
    </row>
    <row r="687" spans="1:30" ht="14.25" customHeight="1" x14ac:dyDescent="0.3">
      <c r="A687" s="293"/>
      <c r="B687" s="293"/>
      <c r="C687" s="293"/>
      <c r="D687" s="293"/>
      <c r="E687" s="293"/>
      <c r="F687" s="293"/>
      <c r="G687" s="293"/>
      <c r="H687" s="293"/>
      <c r="I687" s="293"/>
      <c r="J687" s="293"/>
      <c r="K687" s="293"/>
      <c r="L687" s="293"/>
      <c r="M687" s="293"/>
      <c r="N687" s="293"/>
      <c r="O687" s="293"/>
      <c r="P687" s="293"/>
      <c r="Q687" s="293"/>
      <c r="R687" s="293"/>
      <c r="S687" s="293"/>
      <c r="T687" s="293"/>
      <c r="U687" s="293"/>
      <c r="V687" s="293"/>
      <c r="W687" s="293"/>
      <c r="X687" s="293"/>
      <c r="Y687" s="293"/>
      <c r="Z687" s="293"/>
      <c r="AA687" s="293"/>
      <c r="AB687" s="293"/>
      <c r="AC687" s="293"/>
      <c r="AD687" s="293"/>
    </row>
    <row r="688" spans="1:30" ht="14.25" customHeight="1" x14ac:dyDescent="0.3">
      <c r="A688" s="293"/>
      <c r="B688" s="293"/>
      <c r="C688" s="293"/>
      <c r="D688" s="293"/>
      <c r="E688" s="293"/>
      <c r="F688" s="293"/>
      <c r="G688" s="293"/>
      <c r="H688" s="293"/>
      <c r="I688" s="293"/>
      <c r="J688" s="293"/>
      <c r="K688" s="293"/>
      <c r="L688" s="293"/>
      <c r="M688" s="293"/>
      <c r="N688" s="293"/>
      <c r="O688" s="293"/>
      <c r="P688" s="293"/>
      <c r="Q688" s="293"/>
      <c r="R688" s="293"/>
      <c r="S688" s="293"/>
      <c r="T688" s="293"/>
      <c r="U688" s="293"/>
      <c r="V688" s="293"/>
      <c r="W688" s="293"/>
      <c r="X688" s="293"/>
      <c r="Y688" s="293"/>
      <c r="Z688" s="293"/>
      <c r="AA688" s="293"/>
      <c r="AB688" s="293"/>
      <c r="AC688" s="293"/>
      <c r="AD688" s="293"/>
    </row>
    <row r="689" spans="1:30" ht="14.25" customHeight="1" x14ac:dyDescent="0.3">
      <c r="A689" s="293"/>
      <c r="B689" s="293"/>
      <c r="C689" s="293"/>
      <c r="D689" s="293"/>
      <c r="E689" s="293"/>
      <c r="F689" s="293"/>
      <c r="G689" s="293"/>
      <c r="H689" s="293"/>
      <c r="I689" s="293"/>
      <c r="J689" s="293"/>
      <c r="K689" s="293"/>
      <c r="L689" s="293"/>
      <c r="M689" s="293"/>
      <c r="N689" s="293"/>
      <c r="O689" s="293"/>
      <c r="P689" s="293"/>
      <c r="Q689" s="293"/>
      <c r="R689" s="293"/>
      <c r="S689" s="293"/>
      <c r="T689" s="293"/>
      <c r="U689" s="293"/>
      <c r="V689" s="293"/>
      <c r="W689" s="293"/>
      <c r="X689" s="293"/>
      <c r="Y689" s="293"/>
      <c r="Z689" s="293"/>
      <c r="AA689" s="293"/>
      <c r="AB689" s="293"/>
      <c r="AC689" s="293"/>
      <c r="AD689" s="293"/>
    </row>
    <row r="690" spans="1:30" ht="14.25" customHeight="1" x14ac:dyDescent="0.3">
      <c r="A690" s="293"/>
      <c r="B690" s="293"/>
      <c r="C690" s="293"/>
      <c r="D690" s="293"/>
      <c r="E690" s="293"/>
      <c r="F690" s="293"/>
      <c r="G690" s="293"/>
      <c r="H690" s="293"/>
      <c r="I690" s="293"/>
      <c r="J690" s="293"/>
      <c r="K690" s="293"/>
      <c r="L690" s="293"/>
      <c r="M690" s="293"/>
      <c r="N690" s="293"/>
      <c r="O690" s="293"/>
      <c r="P690" s="293"/>
      <c r="Q690" s="293"/>
      <c r="R690" s="293"/>
      <c r="S690" s="293"/>
      <c r="T690" s="293"/>
      <c r="U690" s="293"/>
      <c r="V690" s="293"/>
      <c r="W690" s="293"/>
      <c r="X690" s="293"/>
      <c r="Y690" s="293"/>
      <c r="Z690" s="293"/>
      <c r="AA690" s="293"/>
      <c r="AB690" s="293"/>
      <c r="AC690" s="293"/>
      <c r="AD690" s="293"/>
    </row>
    <row r="691" spans="1:30" ht="14.25" customHeight="1" x14ac:dyDescent="0.3">
      <c r="A691" s="293"/>
      <c r="B691" s="293"/>
      <c r="C691" s="293"/>
      <c r="D691" s="293"/>
      <c r="E691" s="293"/>
      <c r="F691" s="293"/>
      <c r="G691" s="293"/>
      <c r="H691" s="293"/>
      <c r="I691" s="293"/>
      <c r="J691" s="293"/>
      <c r="K691" s="293"/>
      <c r="L691" s="293"/>
      <c r="M691" s="293"/>
      <c r="N691" s="293"/>
      <c r="O691" s="293"/>
      <c r="P691" s="293"/>
      <c r="Q691" s="293"/>
      <c r="R691" s="293"/>
      <c r="S691" s="293"/>
      <c r="T691" s="293"/>
      <c r="U691" s="293"/>
      <c r="V691" s="293"/>
      <c r="W691" s="293"/>
      <c r="X691" s="293"/>
      <c r="Y691" s="293"/>
      <c r="Z691" s="293"/>
      <c r="AA691" s="293"/>
      <c r="AB691" s="293"/>
      <c r="AC691" s="293"/>
      <c r="AD691" s="293"/>
    </row>
    <row r="692" spans="1:30" ht="14.25" customHeight="1" x14ac:dyDescent="0.3">
      <c r="A692" s="293"/>
      <c r="B692" s="293"/>
      <c r="C692" s="293"/>
      <c r="D692" s="293"/>
      <c r="E692" s="293"/>
      <c r="F692" s="293"/>
      <c r="G692" s="293"/>
      <c r="H692" s="293"/>
      <c r="I692" s="293"/>
      <c r="J692" s="293"/>
      <c r="K692" s="293"/>
      <c r="L692" s="293"/>
      <c r="M692" s="293"/>
      <c r="N692" s="293"/>
      <c r="O692" s="293"/>
      <c r="P692" s="293"/>
      <c r="Q692" s="293"/>
      <c r="R692" s="293"/>
      <c r="S692" s="293"/>
      <c r="T692" s="293"/>
      <c r="U692" s="293"/>
      <c r="V692" s="293"/>
      <c r="W692" s="293"/>
      <c r="X692" s="293"/>
      <c r="Y692" s="293"/>
      <c r="Z692" s="293"/>
      <c r="AA692" s="293"/>
      <c r="AB692" s="293"/>
      <c r="AC692" s="293"/>
      <c r="AD692" s="293"/>
    </row>
    <row r="693" spans="1:30" ht="14.25" customHeight="1" x14ac:dyDescent="0.3">
      <c r="A693" s="293"/>
      <c r="B693" s="293"/>
      <c r="C693" s="293"/>
      <c r="D693" s="293"/>
      <c r="E693" s="293"/>
      <c r="F693" s="293"/>
      <c r="G693" s="293"/>
      <c r="H693" s="293"/>
      <c r="I693" s="293"/>
      <c r="J693" s="293"/>
      <c r="K693" s="293"/>
      <c r="L693" s="293"/>
      <c r="M693" s="293"/>
      <c r="N693" s="293"/>
      <c r="O693" s="293"/>
      <c r="P693" s="293"/>
      <c r="Q693" s="293"/>
      <c r="R693" s="293"/>
      <c r="S693" s="293"/>
      <c r="T693" s="293"/>
      <c r="U693" s="293"/>
      <c r="V693" s="293"/>
      <c r="W693" s="293"/>
      <c r="X693" s="293"/>
      <c r="Y693" s="293"/>
      <c r="Z693" s="293"/>
      <c r="AA693" s="293"/>
      <c r="AB693" s="293"/>
      <c r="AC693" s="293"/>
      <c r="AD693" s="293"/>
    </row>
    <row r="694" spans="1:30" ht="14.25" customHeight="1" x14ac:dyDescent="0.3">
      <c r="A694" s="293"/>
      <c r="B694" s="293"/>
      <c r="C694" s="293"/>
      <c r="D694" s="293"/>
      <c r="E694" s="293"/>
      <c r="F694" s="293"/>
      <c r="G694" s="293"/>
      <c r="H694" s="293"/>
      <c r="I694" s="293"/>
      <c r="J694" s="293"/>
      <c r="K694" s="293"/>
      <c r="L694" s="293"/>
      <c r="M694" s="293"/>
      <c r="N694" s="293"/>
      <c r="O694" s="293"/>
      <c r="P694" s="293"/>
      <c r="Q694" s="293"/>
      <c r="R694" s="293"/>
      <c r="S694" s="293"/>
      <c r="T694" s="293"/>
      <c r="U694" s="293"/>
      <c r="V694" s="293"/>
      <c r="W694" s="293"/>
      <c r="X694" s="293"/>
      <c r="Y694" s="293"/>
      <c r="Z694" s="293"/>
      <c r="AA694" s="293"/>
      <c r="AB694" s="293"/>
      <c r="AC694" s="293"/>
      <c r="AD694" s="293"/>
    </row>
    <row r="695" spans="1:30" ht="14.25" customHeight="1" x14ac:dyDescent="0.3">
      <c r="A695" s="293"/>
      <c r="B695" s="293"/>
      <c r="C695" s="293"/>
      <c r="D695" s="293"/>
      <c r="E695" s="293"/>
      <c r="F695" s="293"/>
      <c r="G695" s="293"/>
      <c r="H695" s="293"/>
      <c r="I695" s="293"/>
      <c r="J695" s="293"/>
      <c r="K695" s="293"/>
      <c r="L695" s="293"/>
      <c r="M695" s="293"/>
      <c r="N695" s="293"/>
      <c r="O695" s="293"/>
      <c r="P695" s="293"/>
      <c r="Q695" s="293"/>
      <c r="R695" s="293"/>
      <c r="S695" s="293"/>
      <c r="T695" s="293"/>
      <c r="U695" s="293"/>
      <c r="V695" s="293"/>
      <c r="W695" s="293"/>
      <c r="X695" s="293"/>
      <c r="Y695" s="293"/>
      <c r="Z695" s="293"/>
      <c r="AA695" s="293"/>
      <c r="AB695" s="293"/>
      <c r="AC695" s="293"/>
      <c r="AD695" s="293"/>
    </row>
    <row r="696" spans="1:30" ht="14.25" customHeight="1" x14ac:dyDescent="0.3">
      <c r="A696" s="293"/>
      <c r="B696" s="293"/>
      <c r="C696" s="293"/>
      <c r="D696" s="293"/>
      <c r="E696" s="293"/>
      <c r="F696" s="293"/>
      <c r="G696" s="293"/>
      <c r="H696" s="293"/>
      <c r="I696" s="293"/>
      <c r="J696" s="293"/>
      <c r="K696" s="293"/>
      <c r="L696" s="293"/>
      <c r="M696" s="293"/>
      <c r="N696" s="293"/>
      <c r="O696" s="293"/>
      <c r="P696" s="293"/>
      <c r="Q696" s="293"/>
      <c r="R696" s="293"/>
      <c r="S696" s="293"/>
      <c r="T696" s="293"/>
      <c r="U696" s="293"/>
      <c r="V696" s="293"/>
      <c r="W696" s="293"/>
      <c r="X696" s="293"/>
      <c r="Y696" s="293"/>
      <c r="Z696" s="293"/>
      <c r="AA696" s="293"/>
      <c r="AB696" s="293"/>
      <c r="AC696" s="293"/>
      <c r="AD696" s="293"/>
    </row>
    <row r="697" spans="1:30" ht="14.25" customHeight="1" x14ac:dyDescent="0.3">
      <c r="A697" s="293"/>
      <c r="B697" s="293"/>
      <c r="C697" s="293"/>
      <c r="D697" s="293"/>
      <c r="E697" s="293"/>
      <c r="F697" s="293"/>
      <c r="G697" s="293"/>
      <c r="H697" s="293"/>
      <c r="I697" s="293"/>
      <c r="J697" s="293"/>
      <c r="K697" s="293"/>
      <c r="L697" s="293"/>
      <c r="M697" s="293"/>
      <c r="N697" s="293"/>
      <c r="O697" s="293"/>
      <c r="P697" s="293"/>
      <c r="Q697" s="293"/>
      <c r="R697" s="293"/>
      <c r="S697" s="293"/>
      <c r="T697" s="293"/>
      <c r="U697" s="293"/>
      <c r="V697" s="293"/>
      <c r="W697" s="293"/>
      <c r="X697" s="293"/>
      <c r="Y697" s="293"/>
      <c r="Z697" s="293"/>
      <c r="AA697" s="293"/>
      <c r="AB697" s="293"/>
      <c r="AC697" s="293"/>
      <c r="AD697" s="293"/>
    </row>
    <row r="698" spans="1:30" ht="14.25" customHeight="1" x14ac:dyDescent="0.3">
      <c r="A698" s="293"/>
      <c r="B698" s="293"/>
      <c r="C698" s="293"/>
      <c r="D698" s="293"/>
      <c r="E698" s="293"/>
      <c r="F698" s="293"/>
      <c r="G698" s="293"/>
      <c r="H698" s="293"/>
      <c r="I698" s="293"/>
      <c r="J698" s="293"/>
      <c r="K698" s="293"/>
      <c r="L698" s="293"/>
      <c r="M698" s="293"/>
      <c r="N698" s="293"/>
      <c r="O698" s="293"/>
      <c r="P698" s="293"/>
      <c r="Q698" s="293"/>
      <c r="R698" s="293"/>
      <c r="S698" s="293"/>
      <c r="T698" s="293"/>
      <c r="U698" s="293"/>
      <c r="V698" s="293"/>
      <c r="W698" s="293"/>
      <c r="X698" s="293"/>
      <c r="Y698" s="293"/>
      <c r="Z698" s="293"/>
      <c r="AA698" s="293"/>
      <c r="AB698" s="293"/>
      <c r="AC698" s="293"/>
      <c r="AD698" s="293"/>
    </row>
    <row r="699" spans="1:30" ht="14.25" customHeight="1" x14ac:dyDescent="0.3">
      <c r="A699" s="293"/>
      <c r="B699" s="293"/>
      <c r="C699" s="293"/>
      <c r="D699" s="293"/>
      <c r="E699" s="293"/>
      <c r="F699" s="293"/>
      <c r="G699" s="293"/>
      <c r="H699" s="293"/>
      <c r="I699" s="293"/>
      <c r="J699" s="293"/>
      <c r="K699" s="293"/>
      <c r="L699" s="293"/>
      <c r="M699" s="293"/>
      <c r="N699" s="293"/>
      <c r="O699" s="293"/>
      <c r="P699" s="293"/>
      <c r="Q699" s="293"/>
      <c r="R699" s="293"/>
      <c r="S699" s="293"/>
      <c r="T699" s="293"/>
      <c r="U699" s="293"/>
      <c r="V699" s="293"/>
      <c r="W699" s="293"/>
      <c r="X699" s="293"/>
      <c r="Y699" s="293"/>
      <c r="Z699" s="293"/>
      <c r="AA699" s="293"/>
      <c r="AB699" s="293"/>
      <c r="AC699" s="293"/>
      <c r="AD699" s="293"/>
    </row>
    <row r="700" spans="1:30" ht="14.25" customHeight="1" x14ac:dyDescent="0.3">
      <c r="A700" s="293"/>
      <c r="B700" s="293"/>
      <c r="C700" s="293"/>
      <c r="D700" s="293"/>
      <c r="E700" s="293"/>
      <c r="F700" s="293"/>
      <c r="G700" s="293"/>
      <c r="H700" s="293"/>
      <c r="I700" s="293"/>
      <c r="J700" s="293"/>
      <c r="K700" s="293"/>
      <c r="L700" s="293"/>
      <c r="M700" s="293"/>
      <c r="N700" s="293"/>
      <c r="O700" s="293"/>
      <c r="P700" s="293"/>
      <c r="Q700" s="293"/>
      <c r="R700" s="293"/>
      <c r="S700" s="293"/>
      <c r="T700" s="293"/>
      <c r="U700" s="293"/>
      <c r="V700" s="293"/>
      <c r="W700" s="293"/>
      <c r="X700" s="293"/>
      <c r="Y700" s="293"/>
      <c r="Z700" s="293"/>
      <c r="AA700" s="293"/>
      <c r="AB700" s="293"/>
      <c r="AC700" s="293"/>
      <c r="AD700" s="293"/>
    </row>
    <row r="701" spans="1:30" ht="14.25" customHeight="1" x14ac:dyDescent="0.3">
      <c r="A701" s="293"/>
      <c r="B701" s="293"/>
      <c r="C701" s="293"/>
      <c r="D701" s="293"/>
      <c r="E701" s="293"/>
      <c r="F701" s="293"/>
      <c r="G701" s="293"/>
      <c r="H701" s="293"/>
      <c r="I701" s="293"/>
      <c r="J701" s="293"/>
      <c r="K701" s="293"/>
      <c r="L701" s="293"/>
      <c r="M701" s="293"/>
      <c r="N701" s="293"/>
      <c r="O701" s="293"/>
      <c r="P701" s="293"/>
      <c r="Q701" s="293"/>
      <c r="R701" s="293"/>
      <c r="S701" s="293"/>
      <c r="T701" s="293"/>
      <c r="U701" s="293"/>
      <c r="V701" s="293"/>
      <c r="W701" s="293"/>
      <c r="X701" s="293"/>
      <c r="Y701" s="293"/>
      <c r="Z701" s="293"/>
      <c r="AA701" s="293"/>
      <c r="AB701" s="293"/>
      <c r="AC701" s="293"/>
      <c r="AD701" s="293"/>
    </row>
    <row r="702" spans="1:30" ht="14.25" customHeight="1" x14ac:dyDescent="0.3">
      <c r="A702" s="293"/>
      <c r="B702" s="293"/>
      <c r="C702" s="293"/>
      <c r="D702" s="293"/>
      <c r="E702" s="293"/>
      <c r="F702" s="293"/>
      <c r="G702" s="293"/>
      <c r="H702" s="293"/>
      <c r="I702" s="293"/>
      <c r="J702" s="293"/>
      <c r="K702" s="293"/>
      <c r="L702" s="293"/>
      <c r="M702" s="293"/>
      <c r="N702" s="293"/>
      <c r="O702" s="293"/>
      <c r="P702" s="293"/>
      <c r="Q702" s="293"/>
      <c r="R702" s="293"/>
      <c r="S702" s="293"/>
      <c r="T702" s="293"/>
      <c r="U702" s="293"/>
      <c r="V702" s="293"/>
      <c r="W702" s="293"/>
      <c r="X702" s="293"/>
      <c r="Y702" s="293"/>
      <c r="Z702" s="293"/>
      <c r="AA702" s="293"/>
      <c r="AB702" s="293"/>
      <c r="AC702" s="293"/>
      <c r="AD702" s="293"/>
    </row>
    <row r="703" spans="1:30" ht="14.25" customHeight="1" x14ac:dyDescent="0.3">
      <c r="A703" s="293"/>
      <c r="B703" s="293"/>
      <c r="C703" s="293"/>
      <c r="D703" s="293"/>
      <c r="E703" s="293"/>
      <c r="F703" s="293"/>
      <c r="G703" s="293"/>
      <c r="H703" s="293"/>
      <c r="I703" s="293"/>
      <c r="J703" s="293"/>
      <c r="K703" s="293"/>
      <c r="L703" s="293"/>
      <c r="M703" s="293"/>
      <c r="N703" s="293"/>
      <c r="O703" s="293"/>
      <c r="P703" s="293"/>
      <c r="Q703" s="293"/>
      <c r="R703" s="293"/>
      <c r="S703" s="293"/>
      <c r="T703" s="293"/>
      <c r="U703" s="293"/>
      <c r="V703" s="293"/>
      <c r="W703" s="293"/>
      <c r="X703" s="293"/>
      <c r="Y703" s="293"/>
      <c r="Z703" s="293"/>
      <c r="AA703" s="293"/>
      <c r="AB703" s="293"/>
      <c r="AC703" s="293"/>
      <c r="AD703" s="293"/>
    </row>
    <row r="704" spans="1:30" ht="14.25" customHeight="1" x14ac:dyDescent="0.3">
      <c r="A704" s="293"/>
      <c r="B704" s="293"/>
      <c r="C704" s="293"/>
      <c r="D704" s="293"/>
      <c r="E704" s="293"/>
      <c r="F704" s="293"/>
      <c r="G704" s="293"/>
      <c r="H704" s="293"/>
      <c r="I704" s="293"/>
      <c r="J704" s="293"/>
      <c r="K704" s="293"/>
      <c r="L704" s="293"/>
      <c r="M704" s="293"/>
      <c r="N704" s="293"/>
      <c r="O704" s="293"/>
      <c r="P704" s="293"/>
      <c r="Q704" s="293"/>
      <c r="R704" s="293"/>
      <c r="S704" s="293"/>
      <c r="T704" s="293"/>
      <c r="U704" s="293"/>
      <c r="V704" s="293"/>
      <c r="W704" s="293"/>
      <c r="X704" s="293"/>
      <c r="Y704" s="293"/>
      <c r="Z704" s="293"/>
      <c r="AA704" s="293"/>
      <c r="AB704" s="293"/>
      <c r="AC704" s="293"/>
      <c r="AD704" s="293"/>
    </row>
    <row r="705" spans="1:30" ht="14.25" customHeight="1" x14ac:dyDescent="0.3">
      <c r="A705" s="293"/>
      <c r="B705" s="293"/>
      <c r="C705" s="293"/>
      <c r="D705" s="293"/>
      <c r="E705" s="293"/>
      <c r="F705" s="293"/>
      <c r="G705" s="293"/>
      <c r="H705" s="293"/>
      <c r="I705" s="293"/>
      <c r="J705" s="293"/>
      <c r="K705" s="293"/>
      <c r="L705" s="293"/>
      <c r="M705" s="293"/>
      <c r="N705" s="293"/>
      <c r="O705" s="293"/>
      <c r="P705" s="293"/>
      <c r="Q705" s="293"/>
      <c r="R705" s="293"/>
      <c r="S705" s="293"/>
      <c r="T705" s="293"/>
      <c r="U705" s="293"/>
      <c r="V705" s="293"/>
      <c r="W705" s="293"/>
      <c r="X705" s="293"/>
      <c r="Y705" s="293"/>
      <c r="Z705" s="293"/>
      <c r="AA705" s="293"/>
      <c r="AB705" s="293"/>
      <c r="AC705" s="293"/>
      <c r="AD705" s="293"/>
    </row>
    <row r="706" spans="1:30" ht="14.25" customHeight="1" x14ac:dyDescent="0.3">
      <c r="A706" s="293"/>
      <c r="B706" s="293"/>
      <c r="C706" s="293"/>
      <c r="D706" s="293"/>
      <c r="E706" s="293"/>
      <c r="F706" s="293"/>
      <c r="G706" s="293"/>
      <c r="H706" s="293"/>
      <c r="I706" s="293"/>
      <c r="J706" s="293"/>
      <c r="K706" s="293"/>
      <c r="L706" s="293"/>
      <c r="M706" s="293"/>
      <c r="N706" s="293"/>
      <c r="O706" s="293"/>
      <c r="P706" s="293"/>
      <c r="Q706" s="293"/>
      <c r="R706" s="293"/>
      <c r="S706" s="293"/>
      <c r="T706" s="293"/>
      <c r="U706" s="293"/>
      <c r="V706" s="293"/>
      <c r="W706" s="293"/>
      <c r="X706" s="293"/>
      <c r="Y706" s="293"/>
      <c r="Z706" s="293"/>
      <c r="AA706" s="293"/>
      <c r="AB706" s="293"/>
      <c r="AC706" s="293"/>
      <c r="AD706" s="293"/>
    </row>
    <row r="707" spans="1:30" ht="14.25" customHeight="1" x14ac:dyDescent="0.3">
      <c r="A707" s="293"/>
      <c r="B707" s="293"/>
      <c r="C707" s="293"/>
      <c r="D707" s="293"/>
      <c r="E707" s="293"/>
      <c r="F707" s="293"/>
      <c r="G707" s="293"/>
      <c r="H707" s="293"/>
      <c r="I707" s="293"/>
      <c r="J707" s="293"/>
      <c r="K707" s="293"/>
      <c r="L707" s="293"/>
      <c r="M707" s="293"/>
      <c r="N707" s="293"/>
      <c r="O707" s="293"/>
      <c r="P707" s="293"/>
      <c r="Q707" s="293"/>
      <c r="R707" s="293"/>
      <c r="S707" s="293"/>
      <c r="T707" s="293"/>
      <c r="U707" s="293"/>
      <c r="V707" s="293"/>
      <c r="W707" s="293"/>
      <c r="X707" s="293"/>
      <c r="Y707" s="293"/>
      <c r="Z707" s="293"/>
      <c r="AA707" s="293"/>
      <c r="AB707" s="293"/>
      <c r="AC707" s="293"/>
      <c r="AD707" s="293"/>
    </row>
    <row r="708" spans="1:30" ht="14.25" customHeight="1" x14ac:dyDescent="0.3">
      <c r="A708" s="293"/>
      <c r="B708" s="293"/>
      <c r="C708" s="293"/>
      <c r="D708" s="293"/>
      <c r="E708" s="293"/>
      <c r="F708" s="293"/>
      <c r="G708" s="293"/>
      <c r="H708" s="293"/>
      <c r="I708" s="293"/>
      <c r="J708" s="293"/>
      <c r="K708" s="293"/>
      <c r="L708" s="293"/>
      <c r="M708" s="293"/>
      <c r="N708" s="293"/>
      <c r="O708" s="293"/>
      <c r="P708" s="293"/>
      <c r="Q708" s="293"/>
      <c r="R708" s="293"/>
      <c r="S708" s="293"/>
      <c r="T708" s="293"/>
      <c r="U708" s="293"/>
      <c r="V708" s="293"/>
      <c r="W708" s="293"/>
      <c r="X708" s="293"/>
      <c r="Y708" s="293"/>
      <c r="Z708" s="293"/>
      <c r="AA708" s="293"/>
      <c r="AB708" s="293"/>
      <c r="AC708" s="293"/>
      <c r="AD708" s="293"/>
    </row>
    <row r="709" spans="1:30" ht="14.25" customHeight="1" x14ac:dyDescent="0.3">
      <c r="A709" s="293"/>
      <c r="B709" s="293"/>
      <c r="C709" s="293"/>
      <c r="D709" s="293"/>
      <c r="E709" s="293"/>
      <c r="F709" s="293"/>
      <c r="G709" s="293"/>
      <c r="H709" s="293"/>
      <c r="I709" s="293"/>
      <c r="J709" s="293"/>
      <c r="K709" s="293"/>
      <c r="L709" s="293"/>
      <c r="M709" s="293"/>
      <c r="N709" s="293"/>
      <c r="O709" s="293"/>
      <c r="P709" s="293"/>
      <c r="Q709" s="293"/>
      <c r="R709" s="293"/>
      <c r="S709" s="293"/>
      <c r="T709" s="293"/>
      <c r="U709" s="293"/>
      <c r="V709" s="293"/>
      <c r="W709" s="293"/>
      <c r="X709" s="293"/>
      <c r="Y709" s="293"/>
      <c r="Z709" s="293"/>
      <c r="AA709" s="293"/>
      <c r="AB709" s="293"/>
      <c r="AC709" s="293"/>
      <c r="AD709" s="293"/>
    </row>
    <row r="710" spans="1:30" ht="14.25" customHeight="1" x14ac:dyDescent="0.3">
      <c r="A710" s="293"/>
      <c r="B710" s="293"/>
      <c r="C710" s="293"/>
      <c r="D710" s="293"/>
      <c r="E710" s="293"/>
      <c r="F710" s="293"/>
      <c r="G710" s="293"/>
      <c r="H710" s="293"/>
      <c r="I710" s="293"/>
      <c r="J710" s="293"/>
      <c r="K710" s="293"/>
      <c r="L710" s="293"/>
      <c r="M710" s="293"/>
      <c r="N710" s="293"/>
      <c r="O710" s="293"/>
      <c r="P710" s="293"/>
      <c r="Q710" s="293"/>
      <c r="R710" s="293"/>
      <c r="S710" s="293"/>
      <c r="T710" s="293"/>
      <c r="U710" s="293"/>
      <c r="V710" s="293"/>
      <c r="W710" s="293"/>
      <c r="X710" s="293"/>
      <c r="Y710" s="293"/>
      <c r="Z710" s="293"/>
      <c r="AA710" s="293"/>
      <c r="AB710" s="293"/>
      <c r="AC710" s="293"/>
      <c r="AD710" s="293"/>
    </row>
    <row r="711" spans="1:30" ht="14.25" customHeight="1" x14ac:dyDescent="0.3">
      <c r="A711" s="293"/>
      <c r="B711" s="293"/>
      <c r="C711" s="293"/>
      <c r="D711" s="293"/>
      <c r="E711" s="293"/>
      <c r="F711" s="293"/>
      <c r="G711" s="293"/>
      <c r="H711" s="293"/>
      <c r="I711" s="293"/>
      <c r="J711" s="293"/>
      <c r="K711" s="293"/>
      <c r="L711" s="293"/>
      <c r="M711" s="293"/>
      <c r="N711" s="293"/>
      <c r="O711" s="293"/>
      <c r="P711" s="293"/>
      <c r="Q711" s="293"/>
      <c r="R711" s="293"/>
      <c r="S711" s="293"/>
      <c r="T711" s="293"/>
      <c r="U711" s="293"/>
      <c r="V711" s="293"/>
      <c r="W711" s="293"/>
      <c r="X711" s="293"/>
      <c r="Y711" s="293"/>
      <c r="Z711" s="293"/>
      <c r="AA711" s="293"/>
      <c r="AB711" s="293"/>
      <c r="AC711" s="293"/>
      <c r="AD711" s="293"/>
    </row>
    <row r="712" spans="1:30" ht="14.25" customHeight="1" x14ac:dyDescent="0.3">
      <c r="A712" s="293"/>
      <c r="B712" s="293"/>
      <c r="C712" s="293"/>
      <c r="D712" s="293"/>
      <c r="E712" s="293"/>
      <c r="F712" s="293"/>
      <c r="G712" s="293"/>
      <c r="H712" s="293"/>
      <c r="I712" s="293"/>
      <c r="J712" s="293"/>
      <c r="K712" s="293"/>
      <c r="L712" s="293"/>
      <c r="M712" s="293"/>
      <c r="N712" s="293"/>
      <c r="O712" s="293"/>
      <c r="P712" s="293"/>
      <c r="Q712" s="293"/>
      <c r="R712" s="293"/>
      <c r="S712" s="293"/>
      <c r="T712" s="293"/>
      <c r="U712" s="293"/>
      <c r="V712" s="293"/>
      <c r="W712" s="293"/>
      <c r="X712" s="293"/>
      <c r="Y712" s="293"/>
      <c r="Z712" s="293"/>
      <c r="AA712" s="293"/>
      <c r="AB712" s="293"/>
      <c r="AC712" s="293"/>
      <c r="AD712" s="293"/>
    </row>
    <row r="713" spans="1:30" ht="14.25" customHeight="1" x14ac:dyDescent="0.3">
      <c r="A713" s="293"/>
      <c r="B713" s="293"/>
      <c r="C713" s="293"/>
      <c r="D713" s="293"/>
      <c r="E713" s="293"/>
      <c r="F713" s="293"/>
      <c r="G713" s="293"/>
      <c r="H713" s="293"/>
      <c r="I713" s="293"/>
      <c r="J713" s="293"/>
      <c r="K713" s="293"/>
      <c r="L713" s="293"/>
      <c r="M713" s="293"/>
      <c r="N713" s="293"/>
      <c r="O713" s="293"/>
      <c r="P713" s="293"/>
      <c r="Q713" s="293"/>
      <c r="R713" s="293"/>
      <c r="S713" s="293"/>
      <c r="T713" s="293"/>
      <c r="U713" s="293"/>
      <c r="V713" s="293"/>
      <c r="W713" s="293"/>
      <c r="X713" s="293"/>
      <c r="Y713" s="293"/>
      <c r="Z713" s="293"/>
      <c r="AA713" s="293"/>
      <c r="AB713" s="293"/>
      <c r="AC713" s="293"/>
      <c r="AD713" s="293"/>
    </row>
    <row r="714" spans="1:30" ht="14.25" customHeight="1" x14ac:dyDescent="0.3">
      <c r="A714" s="293"/>
      <c r="B714" s="293"/>
      <c r="C714" s="293"/>
      <c r="D714" s="293"/>
      <c r="E714" s="293"/>
      <c r="F714" s="293"/>
      <c r="G714" s="293"/>
      <c r="H714" s="293"/>
      <c r="I714" s="293"/>
      <c r="J714" s="293"/>
      <c r="K714" s="293"/>
      <c r="L714" s="293"/>
      <c r="M714" s="293"/>
      <c r="N714" s="293"/>
      <c r="O714" s="293"/>
      <c r="P714" s="293"/>
      <c r="Q714" s="293"/>
      <c r="R714" s="293"/>
      <c r="S714" s="293"/>
      <c r="T714" s="293"/>
      <c r="U714" s="293"/>
      <c r="V714" s="293"/>
      <c r="W714" s="293"/>
      <c r="X714" s="293"/>
      <c r="Y714" s="293"/>
      <c r="Z714" s="293"/>
      <c r="AA714" s="293"/>
      <c r="AB714" s="293"/>
      <c r="AC714" s="293"/>
      <c r="AD714" s="293"/>
    </row>
    <row r="715" spans="1:30" ht="14.25" customHeight="1" x14ac:dyDescent="0.3">
      <c r="A715" s="293"/>
      <c r="B715" s="293"/>
      <c r="C715" s="293"/>
      <c r="D715" s="293"/>
      <c r="E715" s="293"/>
      <c r="F715" s="293"/>
      <c r="G715" s="293"/>
      <c r="H715" s="293"/>
      <c r="I715" s="293"/>
      <c r="J715" s="293"/>
      <c r="K715" s="293"/>
      <c r="L715" s="293"/>
      <c r="M715" s="293"/>
      <c r="N715" s="293"/>
      <c r="O715" s="293"/>
      <c r="P715" s="293"/>
      <c r="Q715" s="293"/>
      <c r="R715" s="293"/>
      <c r="S715" s="293"/>
      <c r="T715" s="293"/>
      <c r="U715" s="293"/>
      <c r="V715" s="293"/>
      <c r="W715" s="293"/>
      <c r="X715" s="293"/>
      <c r="Y715" s="293"/>
      <c r="Z715" s="293"/>
      <c r="AA715" s="293"/>
      <c r="AB715" s="293"/>
      <c r="AC715" s="293"/>
      <c r="AD715" s="293"/>
    </row>
    <row r="716" spans="1:30" ht="14.25" customHeight="1" x14ac:dyDescent="0.3">
      <c r="A716" s="293"/>
      <c r="B716" s="293"/>
      <c r="C716" s="293"/>
      <c r="D716" s="293"/>
      <c r="E716" s="293"/>
      <c r="F716" s="293"/>
      <c r="G716" s="293"/>
      <c r="H716" s="293"/>
      <c r="I716" s="293"/>
      <c r="J716" s="293"/>
      <c r="K716" s="293"/>
      <c r="L716" s="293"/>
      <c r="M716" s="293"/>
      <c r="N716" s="293"/>
      <c r="O716" s="293"/>
      <c r="P716" s="293"/>
      <c r="Q716" s="293"/>
      <c r="R716" s="293"/>
      <c r="S716" s="293"/>
      <c r="T716" s="293"/>
      <c r="U716" s="293"/>
      <c r="V716" s="293"/>
      <c r="W716" s="293"/>
      <c r="X716" s="293"/>
      <c r="Y716" s="293"/>
      <c r="Z716" s="293"/>
      <c r="AA716" s="293"/>
      <c r="AB716" s="293"/>
      <c r="AC716" s="293"/>
      <c r="AD716" s="293"/>
    </row>
    <row r="717" spans="1:30" ht="14.25" customHeight="1" x14ac:dyDescent="0.3">
      <c r="A717" s="293"/>
      <c r="B717" s="293"/>
      <c r="C717" s="293"/>
      <c r="D717" s="293"/>
      <c r="E717" s="293"/>
      <c r="F717" s="293"/>
      <c r="G717" s="293"/>
      <c r="H717" s="293"/>
      <c r="I717" s="293"/>
      <c r="J717" s="293"/>
      <c r="K717" s="293"/>
      <c r="L717" s="293"/>
      <c r="M717" s="293"/>
      <c r="N717" s="293"/>
      <c r="O717" s="293"/>
      <c r="P717" s="293"/>
      <c r="Q717" s="293"/>
      <c r="R717" s="293"/>
      <c r="S717" s="293"/>
      <c r="T717" s="293"/>
      <c r="U717" s="293"/>
      <c r="V717" s="293"/>
      <c r="W717" s="293"/>
      <c r="X717" s="293"/>
      <c r="Y717" s="293"/>
      <c r="Z717" s="293"/>
      <c r="AA717" s="293"/>
      <c r="AB717" s="293"/>
      <c r="AC717" s="293"/>
      <c r="AD717" s="293"/>
    </row>
    <row r="718" spans="1:30" ht="14.25" customHeight="1" x14ac:dyDescent="0.3">
      <c r="A718" s="293"/>
      <c r="B718" s="293"/>
      <c r="C718" s="293"/>
      <c r="D718" s="293"/>
      <c r="E718" s="293"/>
      <c r="F718" s="293"/>
      <c r="G718" s="293"/>
      <c r="H718" s="293"/>
      <c r="I718" s="293"/>
      <c r="J718" s="293"/>
      <c r="K718" s="293"/>
      <c r="L718" s="293"/>
      <c r="M718" s="293"/>
      <c r="N718" s="293"/>
      <c r="O718" s="293"/>
      <c r="P718" s="293"/>
      <c r="Q718" s="293"/>
      <c r="R718" s="293"/>
      <c r="S718" s="293"/>
      <c r="T718" s="293"/>
      <c r="U718" s="293"/>
      <c r="V718" s="293"/>
      <c r="W718" s="293"/>
      <c r="X718" s="293"/>
      <c r="Y718" s="293"/>
      <c r="Z718" s="293"/>
      <c r="AA718" s="293"/>
      <c r="AB718" s="293"/>
      <c r="AC718" s="293"/>
      <c r="AD718" s="293"/>
    </row>
    <row r="719" spans="1:30" ht="14.25" customHeight="1" x14ac:dyDescent="0.3">
      <c r="A719" s="293"/>
      <c r="B719" s="293"/>
      <c r="C719" s="293"/>
      <c r="D719" s="293"/>
      <c r="E719" s="293"/>
      <c r="F719" s="293"/>
      <c r="G719" s="293"/>
      <c r="H719" s="293"/>
      <c r="I719" s="293"/>
      <c r="J719" s="293"/>
      <c r="K719" s="293"/>
      <c r="L719" s="293"/>
      <c r="M719" s="293"/>
      <c r="N719" s="293"/>
      <c r="O719" s="293"/>
      <c r="P719" s="293"/>
      <c r="Q719" s="293"/>
      <c r="R719" s="293"/>
      <c r="S719" s="293"/>
      <c r="T719" s="293"/>
      <c r="U719" s="293"/>
      <c r="V719" s="293"/>
      <c r="W719" s="293"/>
      <c r="X719" s="293"/>
      <c r="Y719" s="293"/>
      <c r="Z719" s="293"/>
      <c r="AA719" s="293"/>
      <c r="AB719" s="293"/>
      <c r="AC719" s="293"/>
      <c r="AD719" s="293"/>
    </row>
    <row r="720" spans="1:30" ht="14.25" customHeight="1" x14ac:dyDescent="0.3">
      <c r="A720" s="293"/>
      <c r="B720" s="293"/>
      <c r="C720" s="293"/>
      <c r="D720" s="293"/>
      <c r="E720" s="293"/>
      <c r="F720" s="293"/>
      <c r="G720" s="293"/>
      <c r="H720" s="293"/>
      <c r="I720" s="293"/>
      <c r="J720" s="293"/>
      <c r="K720" s="293"/>
      <c r="L720" s="293"/>
      <c r="M720" s="293"/>
      <c r="N720" s="293"/>
      <c r="O720" s="293"/>
      <c r="P720" s="293"/>
      <c r="Q720" s="293"/>
      <c r="R720" s="293"/>
      <c r="S720" s="293"/>
      <c r="T720" s="293"/>
      <c r="U720" s="293"/>
      <c r="V720" s="293"/>
      <c r="W720" s="293"/>
      <c r="X720" s="293"/>
      <c r="Y720" s="293"/>
      <c r="Z720" s="293"/>
      <c r="AA720" s="293"/>
      <c r="AB720" s="293"/>
      <c r="AC720" s="293"/>
      <c r="AD720" s="293"/>
    </row>
    <row r="721" spans="1:30" ht="14.25" customHeight="1" x14ac:dyDescent="0.3">
      <c r="A721" s="293"/>
      <c r="B721" s="293"/>
      <c r="C721" s="293"/>
      <c r="D721" s="293"/>
      <c r="E721" s="293"/>
      <c r="F721" s="293"/>
      <c r="G721" s="293"/>
      <c r="H721" s="293"/>
      <c r="I721" s="293"/>
      <c r="J721" s="293"/>
      <c r="K721" s="293"/>
      <c r="L721" s="293"/>
      <c r="M721" s="293"/>
      <c r="N721" s="293"/>
      <c r="O721" s="293"/>
      <c r="P721" s="293"/>
      <c r="Q721" s="293"/>
      <c r="R721" s="293"/>
      <c r="S721" s="293"/>
      <c r="T721" s="293"/>
      <c r="U721" s="293"/>
      <c r="V721" s="293"/>
      <c r="W721" s="293"/>
      <c r="X721" s="293"/>
      <c r="Y721" s="293"/>
      <c r="Z721" s="293"/>
      <c r="AA721" s="293"/>
      <c r="AB721" s="293"/>
      <c r="AC721" s="293"/>
      <c r="AD721" s="293"/>
    </row>
    <row r="722" spans="1:30" ht="14.25" customHeight="1" x14ac:dyDescent="0.3">
      <c r="A722" s="293"/>
      <c r="B722" s="293"/>
      <c r="C722" s="293"/>
      <c r="D722" s="293"/>
      <c r="E722" s="293"/>
      <c r="F722" s="293"/>
      <c r="G722" s="293"/>
      <c r="H722" s="293"/>
      <c r="I722" s="293"/>
      <c r="J722" s="293"/>
      <c r="K722" s="293"/>
      <c r="L722" s="293"/>
      <c r="M722" s="293"/>
      <c r="N722" s="293"/>
      <c r="O722" s="293"/>
      <c r="P722" s="293"/>
      <c r="Q722" s="293"/>
      <c r="R722" s="293"/>
      <c r="S722" s="293"/>
      <c r="T722" s="293"/>
      <c r="U722" s="293"/>
      <c r="V722" s="293"/>
      <c r="W722" s="293"/>
      <c r="X722" s="293"/>
      <c r="Y722" s="293"/>
      <c r="Z722" s="293"/>
      <c r="AA722" s="293"/>
      <c r="AB722" s="293"/>
      <c r="AC722" s="293"/>
      <c r="AD722" s="293"/>
    </row>
    <row r="723" spans="1:30" ht="14.25" customHeight="1" x14ac:dyDescent="0.3">
      <c r="A723" s="293"/>
      <c r="B723" s="293"/>
      <c r="C723" s="293"/>
      <c r="D723" s="293"/>
      <c r="E723" s="293"/>
      <c r="F723" s="293"/>
      <c r="G723" s="293"/>
      <c r="H723" s="293"/>
      <c r="I723" s="293"/>
      <c r="J723" s="293"/>
      <c r="K723" s="293"/>
      <c r="L723" s="293"/>
      <c r="M723" s="293"/>
      <c r="N723" s="293"/>
      <c r="O723" s="293"/>
      <c r="P723" s="293"/>
      <c r="Q723" s="293"/>
      <c r="R723" s="293"/>
      <c r="S723" s="293"/>
      <c r="T723" s="293"/>
      <c r="U723" s="293"/>
      <c r="V723" s="293"/>
      <c r="W723" s="293"/>
      <c r="X723" s="293"/>
      <c r="Y723" s="293"/>
      <c r="Z723" s="293"/>
      <c r="AA723" s="293"/>
      <c r="AB723" s="293"/>
      <c r="AC723" s="293"/>
      <c r="AD723" s="293"/>
    </row>
    <row r="724" spans="1:30" ht="14.25" customHeight="1" x14ac:dyDescent="0.3">
      <c r="A724" s="293"/>
      <c r="B724" s="293"/>
      <c r="C724" s="293"/>
      <c r="D724" s="293"/>
      <c r="E724" s="293"/>
      <c r="F724" s="293"/>
      <c r="G724" s="293"/>
      <c r="H724" s="293"/>
      <c r="I724" s="293"/>
      <c r="J724" s="293"/>
      <c r="K724" s="293"/>
      <c r="L724" s="293"/>
      <c r="M724" s="293"/>
      <c r="N724" s="293"/>
      <c r="O724" s="293"/>
      <c r="P724" s="293"/>
      <c r="Q724" s="293"/>
      <c r="R724" s="293"/>
      <c r="S724" s="293"/>
      <c r="T724" s="293"/>
      <c r="U724" s="293"/>
      <c r="V724" s="293"/>
      <c r="W724" s="293"/>
      <c r="X724" s="293"/>
      <c r="Y724" s="293"/>
      <c r="Z724" s="293"/>
      <c r="AA724" s="293"/>
      <c r="AB724" s="293"/>
      <c r="AC724" s="293"/>
      <c r="AD724" s="293"/>
    </row>
    <row r="725" spans="1:30" ht="14.25" customHeight="1" x14ac:dyDescent="0.3">
      <c r="A725" s="293"/>
      <c r="B725" s="293"/>
      <c r="C725" s="293"/>
      <c r="D725" s="293"/>
      <c r="E725" s="293"/>
      <c r="F725" s="293"/>
      <c r="G725" s="293"/>
      <c r="H725" s="293"/>
      <c r="I725" s="293"/>
      <c r="J725" s="293"/>
      <c r="K725" s="293"/>
      <c r="L725" s="293"/>
      <c r="M725" s="293"/>
      <c r="N725" s="293"/>
      <c r="O725" s="293"/>
      <c r="P725" s="293"/>
      <c r="Q725" s="293"/>
      <c r="R725" s="293"/>
      <c r="S725" s="293"/>
      <c r="T725" s="293"/>
      <c r="U725" s="293"/>
      <c r="V725" s="293"/>
      <c r="W725" s="293"/>
      <c r="X725" s="293"/>
      <c r="Y725" s="293"/>
      <c r="Z725" s="293"/>
      <c r="AA725" s="293"/>
      <c r="AB725" s="293"/>
      <c r="AC725" s="293"/>
      <c r="AD725" s="293"/>
    </row>
    <row r="726" spans="1:30" ht="14.25" customHeight="1" x14ac:dyDescent="0.3">
      <c r="A726" s="293"/>
      <c r="B726" s="293"/>
      <c r="C726" s="293"/>
      <c r="D726" s="293"/>
      <c r="E726" s="293"/>
      <c r="F726" s="293"/>
      <c r="G726" s="293"/>
      <c r="H726" s="293"/>
      <c r="I726" s="293"/>
      <c r="J726" s="293"/>
      <c r="K726" s="293"/>
      <c r="L726" s="293"/>
      <c r="M726" s="293"/>
      <c r="N726" s="293"/>
      <c r="O726" s="293"/>
      <c r="P726" s="293"/>
      <c r="Q726" s="293"/>
      <c r="R726" s="293"/>
      <c r="S726" s="293"/>
      <c r="T726" s="293"/>
      <c r="U726" s="293"/>
      <c r="V726" s="293"/>
      <c r="W726" s="293"/>
      <c r="X726" s="293"/>
      <c r="Y726" s="293"/>
      <c r="Z726" s="293"/>
      <c r="AA726" s="293"/>
      <c r="AB726" s="293"/>
      <c r="AC726" s="293"/>
      <c r="AD726" s="293"/>
    </row>
    <row r="727" spans="1:30" ht="14.25" customHeight="1" x14ac:dyDescent="0.3">
      <c r="A727" s="293"/>
      <c r="B727" s="293"/>
      <c r="C727" s="293"/>
      <c r="D727" s="293"/>
      <c r="E727" s="293"/>
      <c r="F727" s="293"/>
      <c r="G727" s="293"/>
      <c r="H727" s="293"/>
      <c r="I727" s="293"/>
      <c r="J727" s="293"/>
      <c r="K727" s="293"/>
      <c r="L727" s="293"/>
      <c r="M727" s="293"/>
      <c r="N727" s="293"/>
      <c r="O727" s="293"/>
      <c r="P727" s="293"/>
      <c r="Q727" s="293"/>
      <c r="R727" s="293"/>
      <c r="S727" s="293"/>
      <c r="T727" s="293"/>
      <c r="U727" s="293"/>
      <c r="V727" s="293"/>
      <c r="W727" s="293"/>
      <c r="X727" s="293"/>
      <c r="Y727" s="293"/>
      <c r="Z727" s="293"/>
      <c r="AA727" s="293"/>
      <c r="AB727" s="293"/>
      <c r="AC727" s="293"/>
      <c r="AD727" s="293"/>
    </row>
    <row r="728" spans="1:30" ht="14.25" customHeight="1" x14ac:dyDescent="0.3">
      <c r="A728" s="293"/>
      <c r="B728" s="293"/>
      <c r="C728" s="293"/>
      <c r="D728" s="293"/>
      <c r="E728" s="293"/>
      <c r="F728" s="293"/>
      <c r="G728" s="293"/>
      <c r="H728" s="293"/>
      <c r="I728" s="293"/>
      <c r="J728" s="293"/>
      <c r="K728" s="293"/>
      <c r="L728" s="293"/>
      <c r="M728" s="293"/>
      <c r="N728" s="293"/>
      <c r="O728" s="293"/>
      <c r="P728" s="293"/>
      <c r="Q728" s="293"/>
      <c r="R728" s="293"/>
      <c r="S728" s="293"/>
      <c r="T728" s="293"/>
      <c r="U728" s="293"/>
      <c r="V728" s="293"/>
      <c r="W728" s="293"/>
      <c r="X728" s="293"/>
      <c r="Y728" s="293"/>
      <c r="Z728" s="293"/>
      <c r="AA728" s="293"/>
      <c r="AB728" s="293"/>
      <c r="AC728" s="293"/>
      <c r="AD728" s="293"/>
    </row>
    <row r="729" spans="1:30" ht="14.25" customHeight="1" x14ac:dyDescent="0.3">
      <c r="A729" s="293"/>
      <c r="B729" s="293"/>
      <c r="C729" s="293"/>
      <c r="D729" s="293"/>
      <c r="E729" s="293"/>
      <c r="F729" s="293"/>
      <c r="G729" s="293"/>
      <c r="H729" s="293"/>
      <c r="I729" s="293"/>
      <c r="J729" s="293"/>
      <c r="K729" s="293"/>
      <c r="L729" s="293"/>
      <c r="M729" s="293"/>
      <c r="N729" s="293"/>
      <c r="O729" s="293"/>
      <c r="P729" s="293"/>
      <c r="Q729" s="293"/>
      <c r="R729" s="293"/>
      <c r="S729" s="293"/>
      <c r="T729" s="293"/>
      <c r="U729" s="293"/>
      <c r="V729" s="293"/>
      <c r="W729" s="293"/>
      <c r="X729" s="293"/>
      <c r="Y729" s="293"/>
      <c r="Z729" s="293"/>
      <c r="AA729" s="293"/>
      <c r="AB729" s="293"/>
      <c r="AC729" s="293"/>
      <c r="AD729" s="293"/>
    </row>
    <row r="730" spans="1:30" ht="14.25" customHeight="1" x14ac:dyDescent="0.3">
      <c r="A730" s="293"/>
      <c r="B730" s="293"/>
      <c r="C730" s="293"/>
      <c r="D730" s="293"/>
      <c r="E730" s="293"/>
      <c r="F730" s="293"/>
      <c r="G730" s="293"/>
      <c r="H730" s="293"/>
      <c r="I730" s="293"/>
      <c r="J730" s="293"/>
      <c r="K730" s="293"/>
      <c r="L730" s="293"/>
      <c r="M730" s="293"/>
      <c r="N730" s="293"/>
      <c r="O730" s="293"/>
      <c r="P730" s="293"/>
      <c r="Q730" s="293"/>
      <c r="R730" s="293"/>
      <c r="S730" s="293"/>
      <c r="T730" s="293"/>
      <c r="U730" s="293"/>
      <c r="V730" s="293"/>
      <c r="W730" s="293"/>
      <c r="X730" s="293"/>
      <c r="Y730" s="293"/>
      <c r="Z730" s="293"/>
      <c r="AA730" s="293"/>
      <c r="AB730" s="293"/>
      <c r="AC730" s="293"/>
      <c r="AD730" s="293"/>
    </row>
    <row r="731" spans="1:30" ht="14.25" customHeight="1" x14ac:dyDescent="0.3">
      <c r="A731" s="293"/>
      <c r="B731" s="293"/>
      <c r="C731" s="293"/>
      <c r="D731" s="293"/>
      <c r="E731" s="293"/>
      <c r="F731" s="293"/>
      <c r="G731" s="293"/>
      <c r="H731" s="293"/>
      <c r="I731" s="293"/>
      <c r="J731" s="293"/>
      <c r="K731" s="293"/>
      <c r="L731" s="293"/>
      <c r="M731" s="293"/>
      <c r="N731" s="293"/>
      <c r="O731" s="293"/>
      <c r="P731" s="293"/>
      <c r="Q731" s="293"/>
      <c r="R731" s="293"/>
      <c r="S731" s="293"/>
      <c r="T731" s="293"/>
      <c r="U731" s="293"/>
      <c r="V731" s="293"/>
      <c r="W731" s="293"/>
      <c r="X731" s="293"/>
      <c r="Y731" s="293"/>
      <c r="Z731" s="293"/>
      <c r="AA731" s="293"/>
      <c r="AB731" s="293"/>
      <c r="AC731" s="293"/>
      <c r="AD731" s="293"/>
    </row>
    <row r="732" spans="1:30" ht="14.25" customHeight="1" x14ac:dyDescent="0.3">
      <c r="A732" s="293"/>
      <c r="B732" s="293"/>
      <c r="C732" s="293"/>
      <c r="D732" s="293"/>
      <c r="E732" s="293"/>
      <c r="F732" s="293"/>
      <c r="G732" s="293"/>
      <c r="H732" s="293"/>
      <c r="I732" s="293"/>
      <c r="J732" s="293"/>
      <c r="K732" s="293"/>
      <c r="L732" s="293"/>
      <c r="M732" s="293"/>
      <c r="N732" s="293"/>
      <c r="O732" s="293"/>
      <c r="P732" s="293"/>
      <c r="Q732" s="293"/>
      <c r="R732" s="293"/>
      <c r="S732" s="293"/>
      <c r="T732" s="293"/>
      <c r="U732" s="293"/>
      <c r="V732" s="293"/>
      <c r="W732" s="293"/>
      <c r="X732" s="293"/>
      <c r="Y732" s="293"/>
      <c r="Z732" s="293"/>
      <c r="AA732" s="293"/>
      <c r="AB732" s="293"/>
      <c r="AC732" s="293"/>
      <c r="AD732" s="293"/>
    </row>
    <row r="733" spans="1:30" ht="14.25" customHeight="1" x14ac:dyDescent="0.3">
      <c r="A733" s="293"/>
      <c r="B733" s="293"/>
      <c r="C733" s="293"/>
      <c r="D733" s="293"/>
      <c r="E733" s="293"/>
      <c r="F733" s="293"/>
      <c r="G733" s="293"/>
      <c r="H733" s="293"/>
      <c r="I733" s="293"/>
      <c r="J733" s="293"/>
      <c r="K733" s="293"/>
      <c r="L733" s="293"/>
      <c r="M733" s="293"/>
      <c r="N733" s="293"/>
      <c r="O733" s="293"/>
      <c r="P733" s="293"/>
      <c r="Q733" s="293"/>
      <c r="R733" s="293"/>
      <c r="S733" s="293"/>
      <c r="T733" s="293"/>
      <c r="U733" s="293"/>
      <c r="V733" s="293"/>
      <c r="W733" s="293"/>
      <c r="X733" s="293"/>
      <c r="Y733" s="293"/>
      <c r="Z733" s="293"/>
      <c r="AA733" s="293"/>
      <c r="AB733" s="293"/>
      <c r="AC733" s="293"/>
      <c r="AD733" s="293"/>
    </row>
    <row r="734" spans="1:30" ht="14.25" customHeight="1" x14ac:dyDescent="0.3">
      <c r="A734" s="293"/>
      <c r="B734" s="293"/>
      <c r="C734" s="293"/>
      <c r="D734" s="293"/>
      <c r="E734" s="293"/>
      <c r="F734" s="293"/>
      <c r="G734" s="293"/>
      <c r="H734" s="293"/>
      <c r="I734" s="293"/>
      <c r="J734" s="293"/>
      <c r="K734" s="293"/>
      <c r="L734" s="293"/>
      <c r="M734" s="293"/>
      <c r="N734" s="293"/>
      <c r="O734" s="293"/>
      <c r="P734" s="293"/>
      <c r="Q734" s="293"/>
      <c r="R734" s="293"/>
      <c r="S734" s="293"/>
      <c r="T734" s="293"/>
      <c r="U734" s="293"/>
      <c r="V734" s="293"/>
      <c r="W734" s="293"/>
      <c r="X734" s="293"/>
      <c r="Y734" s="293"/>
      <c r="Z734" s="293"/>
      <c r="AA734" s="293"/>
      <c r="AB734" s="293"/>
      <c r="AC734" s="293"/>
      <c r="AD734" s="293"/>
    </row>
    <row r="735" spans="1:30" ht="14.25" customHeight="1" x14ac:dyDescent="0.3">
      <c r="A735" s="293"/>
      <c r="B735" s="293"/>
      <c r="C735" s="293"/>
      <c r="D735" s="293"/>
      <c r="E735" s="293"/>
      <c r="F735" s="293"/>
      <c r="G735" s="293"/>
      <c r="H735" s="293"/>
      <c r="I735" s="293"/>
      <c r="J735" s="293"/>
      <c r="K735" s="293"/>
      <c r="L735" s="293"/>
      <c r="M735" s="293"/>
      <c r="N735" s="293"/>
      <c r="O735" s="293"/>
      <c r="P735" s="293"/>
      <c r="Q735" s="293"/>
      <c r="R735" s="293"/>
      <c r="S735" s="293"/>
      <c r="T735" s="293"/>
      <c r="U735" s="293"/>
      <c r="V735" s="293"/>
      <c r="W735" s="293"/>
      <c r="X735" s="293"/>
      <c r="Y735" s="293"/>
      <c r="Z735" s="293"/>
      <c r="AA735" s="293"/>
      <c r="AB735" s="293"/>
      <c r="AC735" s="293"/>
      <c r="AD735" s="293"/>
    </row>
    <row r="736" spans="1:30" ht="14.25" customHeight="1" x14ac:dyDescent="0.3">
      <c r="A736" s="293"/>
      <c r="B736" s="293"/>
      <c r="C736" s="293"/>
      <c r="D736" s="293"/>
      <c r="E736" s="293"/>
      <c r="F736" s="293"/>
      <c r="G736" s="293"/>
      <c r="H736" s="293"/>
      <c r="I736" s="293"/>
      <c r="J736" s="293"/>
      <c r="K736" s="293"/>
      <c r="L736" s="293"/>
      <c r="M736" s="293"/>
      <c r="N736" s="293"/>
      <c r="O736" s="293"/>
      <c r="P736" s="293"/>
      <c r="Q736" s="293"/>
      <c r="R736" s="293"/>
      <c r="S736" s="293"/>
      <c r="T736" s="293"/>
      <c r="U736" s="293"/>
      <c r="V736" s="293"/>
      <c r="W736" s="293"/>
      <c r="X736" s="293"/>
      <c r="Y736" s="293"/>
      <c r="Z736" s="293"/>
      <c r="AA736" s="293"/>
      <c r="AB736" s="293"/>
      <c r="AC736" s="293"/>
      <c r="AD736" s="293"/>
    </row>
    <row r="737" spans="1:30" ht="14.25" customHeight="1" x14ac:dyDescent="0.3">
      <c r="A737" s="293"/>
      <c r="B737" s="293"/>
      <c r="C737" s="293"/>
      <c r="D737" s="293"/>
      <c r="E737" s="293"/>
      <c r="F737" s="293"/>
      <c r="G737" s="293"/>
      <c r="H737" s="293"/>
      <c r="I737" s="293"/>
      <c r="J737" s="293"/>
      <c r="K737" s="293"/>
      <c r="L737" s="293"/>
      <c r="M737" s="293"/>
      <c r="N737" s="293"/>
      <c r="O737" s="293"/>
      <c r="P737" s="293"/>
      <c r="Q737" s="293"/>
      <c r="R737" s="293"/>
      <c r="S737" s="293"/>
      <c r="T737" s="293"/>
      <c r="U737" s="293"/>
      <c r="V737" s="293"/>
      <c r="W737" s="293"/>
      <c r="X737" s="293"/>
      <c r="Y737" s="293"/>
      <c r="Z737" s="293"/>
      <c r="AA737" s="293"/>
      <c r="AB737" s="293"/>
      <c r="AC737" s="293"/>
      <c r="AD737" s="293"/>
    </row>
    <row r="738" spans="1:30" ht="14.25" customHeight="1" x14ac:dyDescent="0.3">
      <c r="A738" s="293"/>
      <c r="B738" s="293"/>
      <c r="C738" s="293"/>
      <c r="D738" s="293"/>
      <c r="E738" s="293"/>
      <c r="F738" s="293"/>
      <c r="G738" s="293"/>
      <c r="H738" s="293"/>
      <c r="I738" s="293"/>
      <c r="J738" s="293"/>
      <c r="K738" s="293"/>
      <c r="L738" s="293"/>
      <c r="M738" s="293"/>
      <c r="N738" s="293"/>
      <c r="O738" s="293"/>
      <c r="P738" s="293"/>
      <c r="Q738" s="293"/>
      <c r="R738" s="293"/>
      <c r="S738" s="293"/>
      <c r="T738" s="293"/>
      <c r="U738" s="293"/>
      <c r="V738" s="293"/>
      <c r="W738" s="293"/>
      <c r="X738" s="293"/>
      <c r="Y738" s="293"/>
      <c r="Z738" s="293"/>
      <c r="AA738" s="293"/>
      <c r="AB738" s="293"/>
      <c r="AC738" s="293"/>
      <c r="AD738" s="293"/>
    </row>
    <row r="739" spans="1:30" ht="14.25" customHeight="1" x14ac:dyDescent="0.3">
      <c r="A739" s="293"/>
      <c r="B739" s="293"/>
      <c r="C739" s="293"/>
      <c r="D739" s="293"/>
      <c r="E739" s="293"/>
      <c r="F739" s="293"/>
      <c r="G739" s="293"/>
      <c r="H739" s="293"/>
      <c r="I739" s="293"/>
      <c r="J739" s="293"/>
      <c r="K739" s="293"/>
      <c r="L739" s="293"/>
      <c r="M739" s="293"/>
      <c r="N739" s="293"/>
      <c r="O739" s="293"/>
      <c r="P739" s="293"/>
      <c r="Q739" s="293"/>
      <c r="R739" s="293"/>
      <c r="S739" s="293"/>
      <c r="T739" s="293"/>
      <c r="U739" s="293"/>
      <c r="V739" s="293"/>
      <c r="W739" s="293"/>
      <c r="X739" s="293"/>
      <c r="Y739" s="293"/>
      <c r="Z739" s="293"/>
      <c r="AA739" s="293"/>
      <c r="AB739" s="293"/>
      <c r="AC739" s="293"/>
      <c r="AD739" s="293"/>
    </row>
    <row r="740" spans="1:30" ht="14.25" customHeight="1" x14ac:dyDescent="0.3">
      <c r="A740" s="293"/>
      <c r="B740" s="293"/>
      <c r="C740" s="293"/>
      <c r="D740" s="293"/>
      <c r="E740" s="293"/>
      <c r="F740" s="293"/>
      <c r="G740" s="293"/>
      <c r="H740" s="293"/>
      <c r="I740" s="293"/>
      <c r="J740" s="293"/>
      <c r="K740" s="293"/>
      <c r="L740" s="293"/>
      <c r="M740" s="293"/>
      <c r="N740" s="293"/>
      <c r="O740" s="293"/>
      <c r="P740" s="293"/>
      <c r="Q740" s="293"/>
      <c r="R740" s="293"/>
      <c r="S740" s="293"/>
      <c r="T740" s="293"/>
      <c r="U740" s="293"/>
      <c r="V740" s="293"/>
      <c r="W740" s="293"/>
      <c r="X740" s="293"/>
      <c r="Y740" s="293"/>
      <c r="Z740" s="293"/>
      <c r="AA740" s="293"/>
      <c r="AB740" s="293"/>
      <c r="AC740" s="293"/>
      <c r="AD740" s="293"/>
    </row>
    <row r="741" spans="1:30" ht="14.25" customHeight="1" x14ac:dyDescent="0.3">
      <c r="A741" s="293"/>
      <c r="B741" s="293"/>
      <c r="C741" s="293"/>
      <c r="D741" s="293"/>
      <c r="E741" s="293"/>
      <c r="F741" s="293"/>
      <c r="G741" s="293"/>
      <c r="H741" s="293"/>
      <c r="I741" s="293"/>
      <c r="J741" s="293"/>
      <c r="K741" s="293"/>
      <c r="L741" s="293"/>
      <c r="M741" s="293"/>
      <c r="N741" s="293"/>
      <c r="O741" s="293"/>
      <c r="P741" s="293"/>
      <c r="Q741" s="293"/>
      <c r="R741" s="293"/>
      <c r="S741" s="293"/>
      <c r="T741" s="293"/>
      <c r="U741" s="293"/>
      <c r="V741" s="293"/>
      <c r="W741" s="293"/>
      <c r="X741" s="293"/>
      <c r="Y741" s="293"/>
      <c r="Z741" s="293"/>
      <c r="AA741" s="293"/>
      <c r="AB741" s="293"/>
      <c r="AC741" s="293"/>
      <c r="AD741" s="293"/>
    </row>
    <row r="742" spans="1:30" ht="14.25" customHeight="1" x14ac:dyDescent="0.3">
      <c r="A742" s="293"/>
      <c r="B742" s="293"/>
      <c r="C742" s="293"/>
      <c r="D742" s="293"/>
      <c r="E742" s="293"/>
      <c r="F742" s="293"/>
      <c r="G742" s="293"/>
      <c r="H742" s="293"/>
      <c r="I742" s="293"/>
      <c r="J742" s="293"/>
      <c r="K742" s="293"/>
      <c r="L742" s="293"/>
      <c r="M742" s="293"/>
      <c r="N742" s="293"/>
      <c r="O742" s="293"/>
      <c r="P742" s="293"/>
      <c r="Q742" s="293"/>
      <c r="R742" s="293"/>
      <c r="S742" s="293"/>
      <c r="T742" s="293"/>
      <c r="U742" s="293"/>
      <c r="V742" s="293"/>
      <c r="W742" s="293"/>
      <c r="X742" s="293"/>
      <c r="Y742" s="293"/>
      <c r="Z742" s="293"/>
      <c r="AA742" s="293"/>
      <c r="AB742" s="293"/>
      <c r="AC742" s="293"/>
      <c r="AD742" s="293"/>
    </row>
    <row r="743" spans="1:30" ht="14.25" customHeight="1" x14ac:dyDescent="0.3">
      <c r="A743" s="293"/>
      <c r="B743" s="293"/>
      <c r="C743" s="293"/>
      <c r="D743" s="293"/>
      <c r="E743" s="293"/>
      <c r="F743" s="293"/>
      <c r="G743" s="293"/>
      <c r="H743" s="293"/>
      <c r="I743" s="293"/>
      <c r="J743" s="293"/>
      <c r="K743" s="293"/>
      <c r="L743" s="293"/>
      <c r="M743" s="293"/>
      <c r="N743" s="293"/>
      <c r="O743" s="293"/>
      <c r="P743" s="293"/>
      <c r="Q743" s="293"/>
      <c r="R743" s="293"/>
      <c r="S743" s="293"/>
      <c r="T743" s="293"/>
      <c r="U743" s="293"/>
      <c r="V743" s="293"/>
      <c r="W743" s="293"/>
      <c r="X743" s="293"/>
      <c r="Y743" s="293"/>
      <c r="Z743" s="293"/>
      <c r="AA743" s="293"/>
      <c r="AB743" s="293"/>
      <c r="AC743" s="293"/>
      <c r="AD743" s="293"/>
    </row>
    <row r="744" spans="1:30" ht="14.25" customHeight="1" x14ac:dyDescent="0.3">
      <c r="A744" s="293"/>
      <c r="B744" s="293"/>
      <c r="C744" s="293"/>
      <c r="D744" s="293"/>
      <c r="E744" s="293"/>
      <c r="F744" s="293"/>
      <c r="G744" s="293"/>
      <c r="H744" s="293"/>
      <c r="I744" s="293"/>
      <c r="J744" s="293"/>
      <c r="K744" s="293"/>
      <c r="L744" s="293"/>
      <c r="M744" s="293"/>
      <c r="N744" s="293"/>
      <c r="O744" s="293"/>
      <c r="P744" s="293"/>
      <c r="Q744" s="293"/>
      <c r="R744" s="293"/>
      <c r="S744" s="293"/>
      <c r="T744" s="293"/>
      <c r="U744" s="293"/>
      <c r="V744" s="293"/>
      <c r="W744" s="293"/>
      <c r="X744" s="293"/>
      <c r="Y744" s="293"/>
      <c r="Z744" s="293"/>
      <c r="AA744" s="293"/>
      <c r="AB744" s="293"/>
      <c r="AC744" s="293"/>
      <c r="AD744" s="293"/>
    </row>
    <row r="745" spans="1:30" ht="14.25" customHeight="1" x14ac:dyDescent="0.3">
      <c r="A745" s="293"/>
      <c r="B745" s="293"/>
      <c r="C745" s="293"/>
      <c r="D745" s="293"/>
      <c r="E745" s="293"/>
      <c r="F745" s="293"/>
      <c r="G745" s="293"/>
      <c r="H745" s="293"/>
      <c r="I745" s="293"/>
      <c r="J745" s="293"/>
      <c r="K745" s="293"/>
      <c r="L745" s="293"/>
      <c r="M745" s="293"/>
      <c r="N745" s="293"/>
      <c r="O745" s="293"/>
      <c r="P745" s="293"/>
      <c r="Q745" s="293"/>
      <c r="R745" s="293"/>
      <c r="S745" s="293"/>
      <c r="T745" s="293"/>
      <c r="U745" s="293"/>
      <c r="V745" s="293"/>
      <c r="W745" s="293"/>
      <c r="X745" s="293"/>
      <c r="Y745" s="293"/>
      <c r="Z745" s="293"/>
      <c r="AA745" s="293"/>
      <c r="AB745" s="293"/>
      <c r="AC745" s="293"/>
      <c r="AD745" s="293"/>
    </row>
    <row r="746" spans="1:30" ht="14.25" customHeight="1" x14ac:dyDescent="0.3">
      <c r="A746" s="293"/>
      <c r="B746" s="293"/>
      <c r="C746" s="293"/>
      <c r="D746" s="293"/>
      <c r="E746" s="293"/>
      <c r="F746" s="293"/>
      <c r="G746" s="293"/>
      <c r="H746" s="293"/>
      <c r="I746" s="293"/>
      <c r="J746" s="293"/>
      <c r="K746" s="293"/>
      <c r="L746" s="293"/>
      <c r="M746" s="293"/>
      <c r="N746" s="293"/>
      <c r="O746" s="293"/>
      <c r="P746" s="293"/>
      <c r="Q746" s="293"/>
      <c r="R746" s="293"/>
      <c r="S746" s="293"/>
      <c r="T746" s="293"/>
      <c r="U746" s="293"/>
      <c r="V746" s="293"/>
      <c r="W746" s="293"/>
      <c r="X746" s="293"/>
      <c r="Y746" s="293"/>
      <c r="Z746" s="293"/>
      <c r="AA746" s="293"/>
      <c r="AB746" s="293"/>
      <c r="AC746" s="293"/>
      <c r="AD746" s="293"/>
    </row>
    <row r="747" spans="1:30" ht="14.25" customHeight="1" x14ac:dyDescent="0.3">
      <c r="A747" s="293"/>
      <c r="B747" s="293"/>
      <c r="C747" s="293"/>
      <c r="D747" s="293"/>
      <c r="E747" s="293"/>
      <c r="F747" s="293"/>
      <c r="G747" s="293"/>
      <c r="H747" s="293"/>
      <c r="I747" s="293"/>
      <c r="J747" s="293"/>
      <c r="K747" s="293"/>
      <c r="L747" s="293"/>
      <c r="M747" s="293"/>
      <c r="N747" s="293"/>
      <c r="O747" s="293"/>
      <c r="P747" s="293"/>
      <c r="Q747" s="293"/>
      <c r="R747" s="293"/>
      <c r="S747" s="293"/>
      <c r="T747" s="293"/>
      <c r="U747" s="293"/>
      <c r="V747" s="293"/>
      <c r="W747" s="293"/>
      <c r="X747" s="293"/>
      <c r="Y747" s="293"/>
      <c r="Z747" s="293"/>
      <c r="AA747" s="293"/>
      <c r="AB747" s="293"/>
      <c r="AC747" s="293"/>
      <c r="AD747" s="293"/>
    </row>
    <row r="748" spans="1:30" ht="14.25" customHeight="1" x14ac:dyDescent="0.3">
      <c r="A748" s="293"/>
      <c r="B748" s="293"/>
      <c r="C748" s="293"/>
      <c r="D748" s="293"/>
      <c r="E748" s="293"/>
      <c r="F748" s="293"/>
      <c r="G748" s="293"/>
      <c r="H748" s="293"/>
      <c r="I748" s="293"/>
      <c r="J748" s="293"/>
      <c r="K748" s="293"/>
      <c r="L748" s="293"/>
      <c r="M748" s="293"/>
      <c r="N748" s="293"/>
      <c r="O748" s="293"/>
      <c r="P748" s="293"/>
      <c r="Q748" s="293"/>
      <c r="R748" s="293"/>
      <c r="S748" s="293"/>
      <c r="T748" s="293"/>
      <c r="U748" s="293"/>
      <c r="V748" s="293"/>
      <c r="W748" s="293"/>
      <c r="X748" s="293"/>
      <c r="Y748" s="293"/>
      <c r="Z748" s="293"/>
      <c r="AA748" s="293"/>
      <c r="AB748" s="293"/>
      <c r="AC748" s="293"/>
      <c r="AD748" s="293"/>
    </row>
    <row r="749" spans="1:30" ht="14.25" customHeight="1" x14ac:dyDescent="0.3">
      <c r="A749" s="293"/>
      <c r="B749" s="293"/>
      <c r="C749" s="293"/>
      <c r="D749" s="293"/>
      <c r="E749" s="293"/>
      <c r="F749" s="293"/>
      <c r="G749" s="293"/>
      <c r="H749" s="293"/>
      <c r="I749" s="293"/>
      <c r="J749" s="293"/>
      <c r="K749" s="293"/>
      <c r="L749" s="293"/>
      <c r="M749" s="293"/>
      <c r="N749" s="293"/>
      <c r="O749" s="293"/>
      <c r="P749" s="293"/>
      <c r="Q749" s="293"/>
      <c r="R749" s="293"/>
      <c r="S749" s="293"/>
      <c r="T749" s="293"/>
      <c r="U749" s="293"/>
      <c r="V749" s="293"/>
      <c r="W749" s="293"/>
      <c r="X749" s="293"/>
      <c r="Y749" s="293"/>
      <c r="Z749" s="293"/>
      <c r="AA749" s="293"/>
      <c r="AB749" s="293"/>
      <c r="AC749" s="293"/>
      <c r="AD749" s="293"/>
    </row>
    <row r="750" spans="1:30" ht="14.25" customHeight="1" x14ac:dyDescent="0.3">
      <c r="A750" s="293"/>
      <c r="B750" s="293"/>
      <c r="C750" s="293"/>
      <c r="D750" s="293"/>
      <c r="E750" s="293"/>
      <c r="F750" s="293"/>
      <c r="G750" s="293"/>
      <c r="H750" s="293"/>
      <c r="I750" s="293"/>
      <c r="J750" s="293"/>
      <c r="K750" s="293"/>
      <c r="L750" s="293"/>
      <c r="M750" s="293"/>
      <c r="N750" s="293"/>
      <c r="O750" s="293"/>
      <c r="P750" s="293"/>
      <c r="Q750" s="293"/>
      <c r="R750" s="293"/>
      <c r="S750" s="293"/>
      <c r="T750" s="293"/>
      <c r="U750" s="293"/>
      <c r="V750" s="293"/>
      <c r="W750" s="293"/>
      <c r="X750" s="293"/>
      <c r="Y750" s="293"/>
      <c r="Z750" s="293"/>
      <c r="AA750" s="293"/>
      <c r="AB750" s="293"/>
      <c r="AC750" s="293"/>
      <c r="AD750" s="293"/>
    </row>
    <row r="751" spans="1:30" ht="14.25" customHeight="1" x14ac:dyDescent="0.3">
      <c r="A751" s="293"/>
      <c r="B751" s="293"/>
      <c r="C751" s="293"/>
      <c r="D751" s="293"/>
      <c r="E751" s="293"/>
      <c r="F751" s="293"/>
      <c r="G751" s="293"/>
      <c r="H751" s="293"/>
      <c r="I751" s="293"/>
      <c r="J751" s="293"/>
      <c r="K751" s="293"/>
      <c r="L751" s="293"/>
      <c r="M751" s="293"/>
      <c r="N751" s="293"/>
      <c r="O751" s="293"/>
      <c r="P751" s="293"/>
      <c r="Q751" s="293"/>
      <c r="R751" s="293"/>
      <c r="S751" s="293"/>
      <c r="T751" s="293"/>
      <c r="U751" s="293"/>
      <c r="V751" s="293"/>
      <c r="W751" s="293"/>
      <c r="X751" s="293"/>
      <c r="Y751" s="293"/>
      <c r="Z751" s="293"/>
      <c r="AA751" s="293"/>
      <c r="AB751" s="293"/>
      <c r="AC751" s="293"/>
      <c r="AD751" s="293"/>
    </row>
    <row r="752" spans="1:30" ht="14.25" customHeight="1" x14ac:dyDescent="0.3">
      <c r="A752" s="293"/>
      <c r="B752" s="293"/>
      <c r="C752" s="293"/>
      <c r="D752" s="293"/>
      <c r="E752" s="293"/>
      <c r="F752" s="293"/>
      <c r="G752" s="293"/>
      <c r="H752" s="293"/>
      <c r="I752" s="293"/>
      <c r="J752" s="293"/>
      <c r="K752" s="293"/>
      <c r="L752" s="293"/>
      <c r="M752" s="293"/>
      <c r="N752" s="293"/>
      <c r="O752" s="293"/>
      <c r="P752" s="293"/>
      <c r="Q752" s="293"/>
      <c r="R752" s="293"/>
      <c r="S752" s="293"/>
      <c r="T752" s="293"/>
      <c r="U752" s="293"/>
      <c r="V752" s="293"/>
      <c r="W752" s="293"/>
      <c r="X752" s="293"/>
      <c r="Y752" s="293"/>
      <c r="Z752" s="293"/>
      <c r="AA752" s="293"/>
      <c r="AB752" s="293"/>
      <c r="AC752" s="293"/>
      <c r="AD752" s="293"/>
    </row>
    <row r="753" spans="1:30" ht="14.25" customHeight="1" x14ac:dyDescent="0.3">
      <c r="A753" s="293"/>
      <c r="B753" s="293"/>
      <c r="C753" s="293"/>
      <c r="D753" s="293"/>
      <c r="E753" s="293"/>
      <c r="F753" s="293"/>
      <c r="G753" s="293"/>
      <c r="H753" s="293"/>
      <c r="I753" s="293"/>
      <c r="J753" s="293"/>
      <c r="K753" s="293"/>
      <c r="L753" s="293"/>
      <c r="M753" s="293"/>
      <c r="N753" s="293"/>
      <c r="O753" s="293"/>
      <c r="P753" s="293"/>
      <c r="Q753" s="293"/>
      <c r="R753" s="293"/>
      <c r="S753" s="293"/>
      <c r="T753" s="293"/>
      <c r="U753" s="293"/>
      <c r="V753" s="293"/>
      <c r="W753" s="293"/>
      <c r="X753" s="293"/>
      <c r="Y753" s="293"/>
      <c r="Z753" s="293"/>
      <c r="AA753" s="293"/>
      <c r="AB753" s="293"/>
      <c r="AC753" s="293"/>
      <c r="AD753" s="293"/>
    </row>
    <row r="754" spans="1:30" ht="14.25" customHeight="1" x14ac:dyDescent="0.3">
      <c r="A754" s="293"/>
      <c r="B754" s="293"/>
      <c r="C754" s="293"/>
      <c r="D754" s="293"/>
      <c r="E754" s="293"/>
      <c r="F754" s="293"/>
      <c r="G754" s="293"/>
      <c r="H754" s="293"/>
      <c r="I754" s="293"/>
      <c r="J754" s="293"/>
      <c r="K754" s="293"/>
      <c r="L754" s="293"/>
      <c r="M754" s="293"/>
      <c r="N754" s="293"/>
      <c r="O754" s="293"/>
      <c r="P754" s="293"/>
      <c r="Q754" s="293"/>
      <c r="R754" s="293"/>
      <c r="S754" s="293"/>
      <c r="T754" s="293"/>
      <c r="U754" s="293"/>
      <c r="V754" s="293"/>
      <c r="W754" s="293"/>
      <c r="X754" s="293"/>
      <c r="Y754" s="293"/>
      <c r="Z754" s="293"/>
      <c r="AA754" s="293"/>
      <c r="AB754" s="293"/>
      <c r="AC754" s="293"/>
      <c r="AD754" s="293"/>
    </row>
    <row r="755" spans="1:30" ht="14.25" customHeight="1" x14ac:dyDescent="0.3">
      <c r="A755" s="293"/>
      <c r="B755" s="293"/>
      <c r="C755" s="293"/>
      <c r="D755" s="293"/>
      <c r="E755" s="293"/>
      <c r="F755" s="293"/>
      <c r="G755" s="293"/>
      <c r="H755" s="293"/>
      <c r="I755" s="293"/>
      <c r="J755" s="293"/>
      <c r="K755" s="293"/>
      <c r="L755" s="293"/>
      <c r="M755" s="293"/>
      <c r="N755" s="293"/>
      <c r="O755" s="293"/>
      <c r="P755" s="293"/>
      <c r="Q755" s="293"/>
      <c r="R755" s="293"/>
      <c r="S755" s="293"/>
      <c r="T755" s="293"/>
      <c r="U755" s="293"/>
      <c r="V755" s="293"/>
      <c r="W755" s="293"/>
      <c r="X755" s="293"/>
      <c r="Y755" s="293"/>
      <c r="Z755" s="293"/>
      <c r="AA755" s="293"/>
      <c r="AB755" s="293"/>
      <c r="AC755" s="293"/>
      <c r="AD755" s="293"/>
    </row>
    <row r="756" spans="1:30" ht="14.25" customHeight="1" x14ac:dyDescent="0.3">
      <c r="A756" s="293"/>
      <c r="B756" s="293"/>
      <c r="C756" s="293"/>
      <c r="D756" s="293"/>
      <c r="E756" s="293"/>
      <c r="F756" s="293"/>
      <c r="G756" s="293"/>
      <c r="H756" s="293"/>
      <c r="I756" s="293"/>
      <c r="J756" s="293"/>
      <c r="K756" s="293"/>
      <c r="L756" s="293"/>
      <c r="M756" s="293"/>
      <c r="N756" s="293"/>
      <c r="O756" s="293"/>
      <c r="P756" s="293"/>
      <c r="Q756" s="293"/>
      <c r="R756" s="293"/>
      <c r="S756" s="293"/>
      <c r="T756" s="293"/>
      <c r="U756" s="293"/>
      <c r="V756" s="293"/>
      <c r="W756" s="293"/>
      <c r="X756" s="293"/>
      <c r="Y756" s="293"/>
      <c r="Z756" s="293"/>
      <c r="AA756" s="293"/>
      <c r="AB756" s="293"/>
      <c r="AC756" s="293"/>
      <c r="AD756" s="293"/>
    </row>
    <row r="757" spans="1:30" ht="14.25" customHeight="1" x14ac:dyDescent="0.3">
      <c r="A757" s="293"/>
      <c r="B757" s="293"/>
      <c r="C757" s="293"/>
      <c r="D757" s="293"/>
      <c r="E757" s="293"/>
      <c r="F757" s="293"/>
      <c r="G757" s="293"/>
      <c r="H757" s="293"/>
      <c r="I757" s="293"/>
      <c r="J757" s="293"/>
      <c r="K757" s="293"/>
      <c r="L757" s="293"/>
      <c r="M757" s="293"/>
      <c r="N757" s="293"/>
      <c r="O757" s="293"/>
      <c r="P757" s="293"/>
      <c r="Q757" s="293"/>
      <c r="R757" s="293"/>
      <c r="S757" s="293"/>
      <c r="T757" s="293"/>
      <c r="U757" s="293"/>
      <c r="V757" s="293"/>
      <c r="W757" s="293"/>
      <c r="X757" s="293"/>
      <c r="Y757" s="293"/>
      <c r="Z757" s="293"/>
      <c r="AA757" s="293"/>
      <c r="AB757" s="293"/>
      <c r="AC757" s="293"/>
      <c r="AD757" s="293"/>
    </row>
    <row r="758" spans="1:30" ht="14.25" customHeight="1" x14ac:dyDescent="0.3">
      <c r="A758" s="293"/>
      <c r="B758" s="293"/>
      <c r="C758" s="293"/>
      <c r="D758" s="293"/>
      <c r="E758" s="293"/>
      <c r="F758" s="293"/>
      <c r="G758" s="293"/>
      <c r="H758" s="293"/>
      <c r="I758" s="293"/>
      <c r="J758" s="293"/>
      <c r="K758" s="293"/>
      <c r="L758" s="293"/>
      <c r="M758" s="293"/>
      <c r="N758" s="293"/>
      <c r="O758" s="293"/>
      <c r="P758" s="293"/>
      <c r="Q758" s="293"/>
      <c r="R758" s="293"/>
      <c r="S758" s="293"/>
      <c r="T758" s="293"/>
      <c r="U758" s="293"/>
      <c r="V758" s="293"/>
      <c r="W758" s="293"/>
      <c r="X758" s="293"/>
      <c r="Y758" s="293"/>
      <c r="Z758" s="293"/>
      <c r="AA758" s="293"/>
      <c r="AB758" s="293"/>
      <c r="AC758" s="293"/>
      <c r="AD758" s="293"/>
    </row>
    <row r="759" spans="1:30" ht="14.25" customHeight="1" x14ac:dyDescent="0.3">
      <c r="A759" s="293"/>
      <c r="B759" s="293"/>
      <c r="C759" s="293"/>
      <c r="D759" s="293"/>
      <c r="E759" s="293"/>
      <c r="F759" s="293"/>
      <c r="G759" s="293"/>
      <c r="H759" s="293"/>
      <c r="I759" s="293"/>
      <c r="J759" s="293"/>
      <c r="K759" s="293"/>
      <c r="L759" s="293"/>
      <c r="M759" s="293"/>
      <c r="N759" s="293"/>
      <c r="O759" s="293"/>
      <c r="P759" s="293"/>
      <c r="Q759" s="293"/>
      <c r="R759" s="293"/>
      <c r="S759" s="293"/>
      <c r="T759" s="293"/>
      <c r="U759" s="293"/>
      <c r="V759" s="293"/>
      <c r="W759" s="293"/>
      <c r="X759" s="293"/>
      <c r="Y759" s="293"/>
      <c r="Z759" s="293"/>
      <c r="AA759" s="293"/>
      <c r="AB759" s="293"/>
      <c r="AC759" s="293"/>
      <c r="AD759" s="293"/>
    </row>
    <row r="760" spans="1:30" ht="14.25" customHeight="1" x14ac:dyDescent="0.3">
      <c r="A760" s="293"/>
      <c r="B760" s="293"/>
      <c r="C760" s="293"/>
      <c r="D760" s="293"/>
      <c r="E760" s="293"/>
      <c r="F760" s="293"/>
      <c r="G760" s="293"/>
      <c r="H760" s="293"/>
      <c r="I760" s="293"/>
      <c r="J760" s="293"/>
      <c r="K760" s="293"/>
      <c r="L760" s="293"/>
      <c r="M760" s="293"/>
      <c r="N760" s="293"/>
      <c r="O760" s="293"/>
      <c r="P760" s="293"/>
      <c r="Q760" s="293"/>
      <c r="R760" s="293"/>
      <c r="S760" s="293"/>
      <c r="T760" s="293"/>
      <c r="U760" s="293"/>
      <c r="V760" s="293"/>
      <c r="W760" s="293"/>
      <c r="X760" s="293"/>
      <c r="Y760" s="293"/>
      <c r="Z760" s="293"/>
      <c r="AA760" s="293"/>
      <c r="AB760" s="293"/>
      <c r="AC760" s="293"/>
      <c r="AD760" s="293"/>
    </row>
    <row r="761" spans="1:30" ht="14.25" customHeight="1" x14ac:dyDescent="0.3">
      <c r="A761" s="293"/>
      <c r="B761" s="293"/>
      <c r="C761" s="293"/>
      <c r="D761" s="293"/>
      <c r="E761" s="293"/>
      <c r="F761" s="293"/>
      <c r="G761" s="293"/>
      <c r="H761" s="293"/>
      <c r="I761" s="293"/>
      <c r="J761" s="293"/>
      <c r="K761" s="293"/>
      <c r="L761" s="293"/>
      <c r="M761" s="293"/>
      <c r="N761" s="293"/>
      <c r="O761" s="293"/>
      <c r="P761" s="293"/>
      <c r="Q761" s="293"/>
      <c r="R761" s="293"/>
      <c r="S761" s="293"/>
      <c r="T761" s="293"/>
      <c r="U761" s="293"/>
      <c r="V761" s="293"/>
      <c r="W761" s="293"/>
      <c r="X761" s="293"/>
      <c r="Y761" s="293"/>
      <c r="Z761" s="293"/>
      <c r="AA761" s="293"/>
      <c r="AB761" s="293"/>
      <c r="AC761" s="293"/>
      <c r="AD761" s="293"/>
    </row>
    <row r="762" spans="1:30" ht="14.25" customHeight="1" x14ac:dyDescent="0.3">
      <c r="A762" s="293"/>
      <c r="B762" s="293"/>
      <c r="C762" s="293"/>
      <c r="D762" s="293"/>
      <c r="E762" s="293"/>
      <c r="F762" s="293"/>
      <c r="G762" s="293"/>
      <c r="H762" s="293"/>
      <c r="I762" s="293"/>
      <c r="J762" s="293"/>
      <c r="K762" s="293"/>
      <c r="L762" s="293"/>
      <c r="M762" s="293"/>
      <c r="N762" s="293"/>
      <c r="O762" s="293"/>
      <c r="P762" s="293"/>
      <c r="Q762" s="293"/>
      <c r="R762" s="293"/>
      <c r="S762" s="293"/>
      <c r="T762" s="293"/>
      <c r="U762" s="293"/>
      <c r="V762" s="293"/>
      <c r="W762" s="293"/>
      <c r="X762" s="293"/>
      <c r="Y762" s="293"/>
      <c r="Z762" s="293"/>
      <c r="AA762" s="293"/>
      <c r="AB762" s="293"/>
      <c r="AC762" s="293"/>
      <c r="AD762" s="293"/>
    </row>
    <row r="763" spans="1:30" ht="14.25" customHeight="1" x14ac:dyDescent="0.3">
      <c r="A763" s="293"/>
      <c r="B763" s="293"/>
      <c r="C763" s="293"/>
      <c r="D763" s="293"/>
      <c r="E763" s="293"/>
      <c r="F763" s="293"/>
      <c r="G763" s="293"/>
      <c r="H763" s="293"/>
      <c r="I763" s="293"/>
      <c r="J763" s="293"/>
      <c r="K763" s="293"/>
      <c r="L763" s="293"/>
      <c r="M763" s="293"/>
      <c r="N763" s="293"/>
      <c r="O763" s="293"/>
      <c r="P763" s="293"/>
      <c r="Q763" s="293"/>
      <c r="R763" s="293"/>
      <c r="S763" s="293"/>
      <c r="T763" s="293"/>
      <c r="U763" s="293"/>
      <c r="V763" s="293"/>
      <c r="W763" s="293"/>
      <c r="X763" s="293"/>
      <c r="Y763" s="293"/>
      <c r="Z763" s="293"/>
      <c r="AA763" s="293"/>
      <c r="AB763" s="293"/>
      <c r="AC763" s="293"/>
      <c r="AD763" s="293"/>
    </row>
    <row r="764" spans="1:30" ht="14.25" customHeight="1" x14ac:dyDescent="0.3">
      <c r="A764" s="293"/>
      <c r="B764" s="293"/>
      <c r="C764" s="293"/>
      <c r="D764" s="293"/>
      <c r="E764" s="293"/>
      <c r="F764" s="293"/>
      <c r="G764" s="293"/>
      <c r="H764" s="293"/>
      <c r="I764" s="293"/>
      <c r="J764" s="293"/>
      <c r="K764" s="293"/>
      <c r="L764" s="293"/>
      <c r="M764" s="293"/>
      <c r="N764" s="293"/>
      <c r="O764" s="293"/>
      <c r="P764" s="293"/>
      <c r="Q764" s="293"/>
      <c r="R764" s="293"/>
      <c r="S764" s="293"/>
      <c r="T764" s="293"/>
      <c r="U764" s="293"/>
      <c r="V764" s="293"/>
      <c r="W764" s="293"/>
      <c r="X764" s="293"/>
      <c r="Y764" s="293"/>
      <c r="Z764" s="293"/>
      <c r="AA764" s="293"/>
      <c r="AB764" s="293"/>
      <c r="AC764" s="293"/>
      <c r="AD764" s="293"/>
    </row>
    <row r="765" spans="1:30" ht="14.25" customHeight="1" x14ac:dyDescent="0.3">
      <c r="A765" s="293"/>
      <c r="B765" s="293"/>
      <c r="C765" s="293"/>
      <c r="D765" s="293"/>
      <c r="E765" s="293"/>
      <c r="F765" s="293"/>
      <c r="G765" s="293"/>
      <c r="H765" s="293"/>
      <c r="I765" s="293"/>
      <c r="J765" s="293"/>
      <c r="K765" s="293"/>
      <c r="L765" s="293"/>
      <c r="M765" s="293"/>
      <c r="N765" s="293"/>
      <c r="O765" s="293"/>
      <c r="P765" s="293"/>
      <c r="Q765" s="293"/>
      <c r="R765" s="293"/>
      <c r="S765" s="293"/>
      <c r="T765" s="293"/>
      <c r="U765" s="293"/>
      <c r="V765" s="293"/>
      <c r="W765" s="293"/>
      <c r="X765" s="293"/>
      <c r="Y765" s="293"/>
      <c r="Z765" s="293"/>
      <c r="AA765" s="293"/>
      <c r="AB765" s="293"/>
      <c r="AC765" s="293"/>
      <c r="AD765" s="293"/>
    </row>
    <row r="766" spans="1:30" ht="14.25" customHeight="1" x14ac:dyDescent="0.3">
      <c r="A766" s="293"/>
      <c r="B766" s="293"/>
      <c r="C766" s="293"/>
      <c r="D766" s="293"/>
      <c r="E766" s="293"/>
      <c r="F766" s="293"/>
      <c r="G766" s="293"/>
      <c r="H766" s="293"/>
      <c r="I766" s="293"/>
      <c r="J766" s="293"/>
      <c r="K766" s="293"/>
      <c r="L766" s="293"/>
      <c r="M766" s="293"/>
      <c r="N766" s="293"/>
      <c r="O766" s="293"/>
      <c r="P766" s="293"/>
      <c r="Q766" s="293"/>
      <c r="R766" s="293"/>
      <c r="S766" s="293"/>
      <c r="T766" s="293"/>
      <c r="U766" s="293"/>
      <c r="V766" s="293"/>
      <c r="W766" s="293"/>
      <c r="X766" s="293"/>
      <c r="Y766" s="293"/>
      <c r="Z766" s="293"/>
      <c r="AA766" s="293"/>
      <c r="AB766" s="293"/>
      <c r="AC766" s="293"/>
      <c r="AD766" s="293"/>
    </row>
    <row r="767" spans="1:30" ht="14.25" customHeight="1" x14ac:dyDescent="0.3">
      <c r="A767" s="293"/>
      <c r="B767" s="293"/>
      <c r="C767" s="293"/>
      <c r="D767" s="293"/>
      <c r="E767" s="293"/>
      <c r="F767" s="293"/>
      <c r="G767" s="293"/>
      <c r="H767" s="293"/>
      <c r="I767" s="293"/>
      <c r="J767" s="293"/>
      <c r="K767" s="293"/>
      <c r="L767" s="293"/>
      <c r="M767" s="293"/>
      <c r="N767" s="293"/>
      <c r="O767" s="293"/>
      <c r="P767" s="293"/>
      <c r="Q767" s="293"/>
      <c r="R767" s="293"/>
      <c r="S767" s="293"/>
      <c r="T767" s="293"/>
      <c r="U767" s="293"/>
      <c r="V767" s="293"/>
      <c r="W767" s="293"/>
      <c r="X767" s="293"/>
      <c r="Y767" s="293"/>
      <c r="Z767" s="293"/>
      <c r="AA767" s="293"/>
      <c r="AB767" s="293"/>
      <c r="AC767" s="293"/>
      <c r="AD767" s="293"/>
    </row>
    <row r="768" spans="1:30" ht="14.25" customHeight="1" x14ac:dyDescent="0.3">
      <c r="A768" s="293"/>
      <c r="B768" s="293"/>
      <c r="C768" s="293"/>
      <c r="D768" s="293"/>
      <c r="E768" s="293"/>
      <c r="F768" s="293"/>
      <c r="G768" s="293"/>
      <c r="H768" s="293"/>
      <c r="I768" s="293"/>
      <c r="J768" s="293"/>
      <c r="K768" s="293"/>
      <c r="L768" s="293"/>
      <c r="M768" s="293"/>
      <c r="N768" s="293"/>
      <c r="O768" s="293"/>
      <c r="P768" s="293"/>
      <c r="Q768" s="293"/>
      <c r="R768" s="293"/>
      <c r="S768" s="293"/>
      <c r="T768" s="293"/>
      <c r="U768" s="293"/>
      <c r="V768" s="293"/>
      <c r="W768" s="293"/>
      <c r="X768" s="293"/>
      <c r="Y768" s="293"/>
      <c r="Z768" s="293"/>
      <c r="AA768" s="293"/>
      <c r="AB768" s="293"/>
      <c r="AC768" s="293"/>
      <c r="AD768" s="293"/>
    </row>
    <row r="769" spans="1:30" ht="14.25" customHeight="1" x14ac:dyDescent="0.3">
      <c r="A769" s="293"/>
      <c r="B769" s="293"/>
      <c r="C769" s="293"/>
      <c r="D769" s="293"/>
      <c r="E769" s="293"/>
      <c r="F769" s="293"/>
      <c r="G769" s="293"/>
      <c r="H769" s="293"/>
      <c r="I769" s="293"/>
      <c r="J769" s="293"/>
      <c r="K769" s="293"/>
      <c r="L769" s="293"/>
      <c r="M769" s="293"/>
      <c r="N769" s="293"/>
      <c r="O769" s="293"/>
      <c r="P769" s="293"/>
      <c r="Q769" s="293"/>
      <c r="R769" s="293"/>
      <c r="S769" s="293"/>
      <c r="T769" s="293"/>
      <c r="U769" s="293"/>
      <c r="V769" s="293"/>
      <c r="W769" s="293"/>
      <c r="X769" s="293"/>
      <c r="Y769" s="293"/>
      <c r="Z769" s="293"/>
      <c r="AA769" s="293"/>
      <c r="AB769" s="293"/>
      <c r="AC769" s="293"/>
      <c r="AD769" s="293"/>
    </row>
    <row r="770" spans="1:30" ht="14.25" customHeight="1" x14ac:dyDescent="0.3">
      <c r="A770" s="293"/>
      <c r="B770" s="293"/>
      <c r="C770" s="293"/>
      <c r="D770" s="293"/>
      <c r="E770" s="293"/>
      <c r="F770" s="293"/>
      <c r="G770" s="293"/>
      <c r="H770" s="293"/>
      <c r="I770" s="293"/>
      <c r="J770" s="293"/>
      <c r="K770" s="293"/>
      <c r="L770" s="293"/>
      <c r="M770" s="293"/>
      <c r="N770" s="293"/>
      <c r="O770" s="293"/>
      <c r="P770" s="293"/>
      <c r="Q770" s="293"/>
      <c r="R770" s="293"/>
      <c r="S770" s="293"/>
      <c r="T770" s="293"/>
      <c r="U770" s="293"/>
      <c r="V770" s="293"/>
      <c r="W770" s="293"/>
      <c r="X770" s="293"/>
      <c r="Y770" s="293"/>
      <c r="Z770" s="293"/>
      <c r="AA770" s="293"/>
      <c r="AB770" s="293"/>
      <c r="AC770" s="293"/>
      <c r="AD770" s="293"/>
    </row>
    <row r="771" spans="1:30" ht="14.25" customHeight="1" x14ac:dyDescent="0.3">
      <c r="A771" s="293"/>
      <c r="B771" s="293"/>
      <c r="C771" s="293"/>
      <c r="D771" s="293"/>
      <c r="E771" s="293"/>
      <c r="F771" s="293"/>
      <c r="G771" s="293"/>
      <c r="H771" s="293"/>
      <c r="I771" s="293"/>
      <c r="J771" s="293"/>
      <c r="K771" s="293"/>
      <c r="L771" s="293"/>
      <c r="M771" s="293"/>
      <c r="N771" s="293"/>
      <c r="O771" s="293"/>
      <c r="P771" s="293"/>
      <c r="Q771" s="293"/>
      <c r="R771" s="293"/>
      <c r="S771" s="293"/>
      <c r="T771" s="293"/>
      <c r="U771" s="293"/>
      <c r="V771" s="293"/>
      <c r="W771" s="293"/>
      <c r="X771" s="293"/>
      <c r="Y771" s="293"/>
      <c r="Z771" s="293"/>
      <c r="AA771" s="293"/>
      <c r="AB771" s="293"/>
      <c r="AC771" s="293"/>
      <c r="AD771" s="293"/>
    </row>
    <row r="772" spans="1:30" ht="14.25" customHeight="1" x14ac:dyDescent="0.3">
      <c r="A772" s="293"/>
      <c r="B772" s="293"/>
      <c r="C772" s="293"/>
      <c r="D772" s="293"/>
      <c r="E772" s="293"/>
      <c r="F772" s="293"/>
      <c r="G772" s="293"/>
      <c r="H772" s="293"/>
      <c r="I772" s="293"/>
      <c r="J772" s="293"/>
      <c r="K772" s="293"/>
      <c r="L772" s="293"/>
      <c r="M772" s="293"/>
      <c r="N772" s="293"/>
      <c r="O772" s="293"/>
      <c r="P772" s="293"/>
      <c r="Q772" s="293"/>
      <c r="R772" s="293"/>
      <c r="S772" s="293"/>
      <c r="T772" s="293"/>
      <c r="U772" s="293"/>
      <c r="V772" s="293"/>
      <c r="W772" s="293"/>
      <c r="X772" s="293"/>
      <c r="Y772" s="293"/>
      <c r="Z772" s="293"/>
      <c r="AA772" s="293"/>
      <c r="AB772" s="293"/>
      <c r="AC772" s="293"/>
      <c r="AD772" s="293"/>
    </row>
    <row r="773" spans="1:30" ht="14.25" customHeight="1" x14ac:dyDescent="0.3">
      <c r="A773" s="293"/>
      <c r="B773" s="293"/>
      <c r="C773" s="293"/>
      <c r="D773" s="293"/>
      <c r="E773" s="293"/>
      <c r="F773" s="293"/>
      <c r="G773" s="293"/>
      <c r="H773" s="293"/>
      <c r="I773" s="293"/>
      <c r="J773" s="293"/>
      <c r="K773" s="293"/>
      <c r="L773" s="293"/>
      <c r="M773" s="293"/>
      <c r="N773" s="293"/>
      <c r="O773" s="293"/>
      <c r="P773" s="293"/>
      <c r="Q773" s="293"/>
      <c r="R773" s="293"/>
      <c r="S773" s="293"/>
      <c r="T773" s="293"/>
      <c r="U773" s="293"/>
      <c r="V773" s="293"/>
      <c r="W773" s="293"/>
      <c r="X773" s="293"/>
      <c r="Y773" s="293"/>
      <c r="Z773" s="293"/>
      <c r="AA773" s="293"/>
      <c r="AB773" s="293"/>
      <c r="AC773" s="293"/>
      <c r="AD773" s="293"/>
    </row>
    <row r="774" spans="1:30" ht="14.25" customHeight="1" x14ac:dyDescent="0.3">
      <c r="A774" s="293"/>
      <c r="B774" s="293"/>
      <c r="C774" s="293"/>
      <c r="D774" s="293"/>
      <c r="E774" s="293"/>
      <c r="F774" s="293"/>
      <c r="G774" s="293"/>
      <c r="H774" s="293"/>
      <c r="I774" s="293"/>
      <c r="J774" s="293"/>
      <c r="K774" s="293"/>
      <c r="L774" s="293"/>
      <c r="M774" s="293"/>
      <c r="N774" s="293"/>
      <c r="O774" s="293"/>
      <c r="P774" s="293"/>
      <c r="Q774" s="293"/>
      <c r="R774" s="293"/>
      <c r="S774" s="293"/>
      <c r="T774" s="293"/>
      <c r="U774" s="293"/>
      <c r="V774" s="293"/>
      <c r="W774" s="293"/>
      <c r="X774" s="293"/>
      <c r="Y774" s="293"/>
      <c r="Z774" s="293"/>
      <c r="AA774" s="293"/>
      <c r="AB774" s="293"/>
      <c r="AC774" s="293"/>
      <c r="AD774" s="293"/>
    </row>
    <row r="775" spans="1:30" ht="14.25" customHeight="1" x14ac:dyDescent="0.3">
      <c r="A775" s="293"/>
      <c r="B775" s="293"/>
      <c r="C775" s="293"/>
      <c r="D775" s="293"/>
      <c r="E775" s="293"/>
      <c r="F775" s="293"/>
      <c r="G775" s="293"/>
      <c r="H775" s="293"/>
      <c r="I775" s="293"/>
      <c r="J775" s="293"/>
      <c r="K775" s="293"/>
      <c r="L775" s="293"/>
      <c r="M775" s="293"/>
      <c r="N775" s="293"/>
      <c r="O775" s="293"/>
      <c r="P775" s="293"/>
      <c r="Q775" s="293"/>
      <c r="R775" s="293"/>
      <c r="S775" s="293"/>
      <c r="T775" s="293"/>
      <c r="U775" s="293"/>
      <c r="V775" s="293"/>
      <c r="W775" s="293"/>
      <c r="X775" s="293"/>
      <c r="Y775" s="293"/>
      <c r="Z775" s="293"/>
      <c r="AA775" s="293"/>
      <c r="AB775" s="293"/>
      <c r="AC775" s="293"/>
      <c r="AD775" s="293"/>
    </row>
    <row r="776" spans="1:30" ht="14.25" customHeight="1" x14ac:dyDescent="0.3">
      <c r="A776" s="293"/>
      <c r="B776" s="293"/>
      <c r="C776" s="293"/>
      <c r="D776" s="293"/>
      <c r="E776" s="293"/>
      <c r="F776" s="293"/>
      <c r="G776" s="293"/>
      <c r="H776" s="293"/>
      <c r="I776" s="293"/>
      <c r="J776" s="293"/>
      <c r="K776" s="293"/>
      <c r="L776" s="293"/>
      <c r="M776" s="293"/>
      <c r="N776" s="293"/>
      <c r="O776" s="293"/>
      <c r="P776" s="293"/>
      <c r="Q776" s="293"/>
      <c r="R776" s="293"/>
      <c r="S776" s="293"/>
      <c r="T776" s="293"/>
      <c r="U776" s="293"/>
      <c r="V776" s="293"/>
      <c r="W776" s="293"/>
      <c r="X776" s="293"/>
      <c r="Y776" s="293"/>
      <c r="Z776" s="293"/>
      <c r="AA776" s="293"/>
      <c r="AB776" s="293"/>
      <c r="AC776" s="293"/>
      <c r="AD776" s="293"/>
    </row>
    <row r="777" spans="1:30" ht="14.25" customHeight="1" x14ac:dyDescent="0.3">
      <c r="A777" s="293"/>
      <c r="B777" s="293"/>
      <c r="C777" s="293"/>
      <c r="D777" s="293"/>
      <c r="E777" s="293"/>
      <c r="F777" s="293"/>
      <c r="G777" s="293"/>
      <c r="H777" s="293"/>
      <c r="I777" s="293"/>
      <c r="J777" s="293"/>
      <c r="K777" s="293"/>
      <c r="L777" s="293"/>
      <c r="M777" s="293"/>
      <c r="N777" s="293"/>
      <c r="O777" s="293"/>
      <c r="P777" s="293"/>
      <c r="Q777" s="293"/>
      <c r="R777" s="293"/>
      <c r="S777" s="293"/>
      <c r="T777" s="293"/>
      <c r="U777" s="293"/>
      <c r="V777" s="293"/>
      <c r="W777" s="293"/>
      <c r="X777" s="293"/>
      <c r="Y777" s="293"/>
      <c r="Z777" s="293"/>
      <c r="AA777" s="293"/>
      <c r="AB777" s="293"/>
      <c r="AC777" s="293"/>
      <c r="AD777" s="293"/>
    </row>
    <row r="778" spans="1:30" ht="14.25" customHeight="1" x14ac:dyDescent="0.3">
      <c r="A778" s="293"/>
      <c r="B778" s="293"/>
      <c r="C778" s="293"/>
      <c r="D778" s="293"/>
      <c r="E778" s="293"/>
      <c r="F778" s="293"/>
      <c r="G778" s="293"/>
      <c r="H778" s="293"/>
      <c r="I778" s="293"/>
      <c r="J778" s="293"/>
      <c r="K778" s="293"/>
      <c r="L778" s="293"/>
      <c r="M778" s="293"/>
      <c r="N778" s="293"/>
      <c r="O778" s="293"/>
      <c r="P778" s="293"/>
      <c r="Q778" s="293"/>
      <c r="R778" s="293"/>
      <c r="S778" s="293"/>
      <c r="T778" s="293"/>
      <c r="U778" s="293"/>
      <c r="V778" s="293"/>
      <c r="W778" s="293"/>
      <c r="X778" s="293"/>
      <c r="Y778" s="293"/>
      <c r="Z778" s="293"/>
      <c r="AA778" s="293"/>
      <c r="AB778" s="293"/>
      <c r="AC778" s="293"/>
      <c r="AD778" s="293"/>
    </row>
    <row r="779" spans="1:30" ht="14.25" customHeight="1" x14ac:dyDescent="0.3">
      <c r="A779" s="293"/>
      <c r="B779" s="293"/>
      <c r="C779" s="293"/>
      <c r="D779" s="293"/>
      <c r="E779" s="293"/>
      <c r="F779" s="293"/>
      <c r="G779" s="293"/>
      <c r="H779" s="293"/>
      <c r="I779" s="293"/>
      <c r="J779" s="293"/>
      <c r="K779" s="293"/>
      <c r="L779" s="293"/>
      <c r="M779" s="293"/>
      <c r="N779" s="293"/>
      <c r="O779" s="293"/>
      <c r="P779" s="293"/>
      <c r="Q779" s="293"/>
      <c r="R779" s="293"/>
      <c r="S779" s="293"/>
      <c r="T779" s="293"/>
      <c r="U779" s="293"/>
      <c r="V779" s="293"/>
      <c r="W779" s="293"/>
      <c r="X779" s="293"/>
      <c r="Y779" s="293"/>
      <c r="Z779" s="293"/>
      <c r="AA779" s="293"/>
      <c r="AB779" s="293"/>
      <c r="AC779" s="293"/>
      <c r="AD779" s="293"/>
    </row>
    <row r="780" spans="1:30" ht="14.25" customHeight="1" x14ac:dyDescent="0.3">
      <c r="A780" s="293"/>
      <c r="B780" s="293"/>
      <c r="C780" s="293"/>
      <c r="D780" s="293"/>
      <c r="E780" s="293"/>
      <c r="F780" s="293"/>
      <c r="G780" s="293"/>
      <c r="H780" s="293"/>
      <c r="I780" s="293"/>
      <c r="J780" s="293"/>
      <c r="K780" s="293"/>
      <c r="L780" s="293"/>
      <c r="M780" s="293"/>
      <c r="N780" s="293"/>
      <c r="O780" s="293"/>
      <c r="P780" s="293"/>
      <c r="Q780" s="293"/>
      <c r="R780" s="293"/>
      <c r="S780" s="293"/>
      <c r="T780" s="293"/>
      <c r="U780" s="293"/>
      <c r="V780" s="293"/>
      <c r="W780" s="293"/>
      <c r="X780" s="293"/>
      <c r="Y780" s="293"/>
      <c r="Z780" s="293"/>
      <c r="AA780" s="293"/>
      <c r="AB780" s="293"/>
      <c r="AC780" s="293"/>
      <c r="AD780" s="293"/>
    </row>
    <row r="781" spans="1:30" ht="14.25" customHeight="1" x14ac:dyDescent="0.3">
      <c r="A781" s="293"/>
      <c r="B781" s="293"/>
      <c r="C781" s="293"/>
      <c r="D781" s="293"/>
      <c r="E781" s="293"/>
      <c r="F781" s="293"/>
      <c r="G781" s="293"/>
      <c r="H781" s="293"/>
      <c r="I781" s="293"/>
      <c r="J781" s="293"/>
      <c r="K781" s="293"/>
      <c r="L781" s="293"/>
      <c r="M781" s="293"/>
      <c r="N781" s="293"/>
      <c r="O781" s="293"/>
      <c r="P781" s="293"/>
      <c r="Q781" s="293"/>
      <c r="R781" s="293"/>
      <c r="S781" s="293"/>
      <c r="T781" s="293"/>
      <c r="U781" s="293"/>
      <c r="V781" s="293"/>
      <c r="W781" s="293"/>
      <c r="X781" s="293"/>
      <c r="Y781" s="293"/>
      <c r="Z781" s="293"/>
      <c r="AA781" s="293"/>
      <c r="AB781" s="293"/>
      <c r="AC781" s="293"/>
      <c r="AD781" s="293"/>
    </row>
    <row r="782" spans="1:30" ht="14.25" customHeight="1" x14ac:dyDescent="0.3">
      <c r="A782" s="293"/>
      <c r="B782" s="293"/>
      <c r="C782" s="293"/>
      <c r="D782" s="293"/>
      <c r="E782" s="293"/>
      <c r="F782" s="293"/>
      <c r="G782" s="293"/>
      <c r="H782" s="293"/>
      <c r="I782" s="293"/>
      <c r="J782" s="293"/>
      <c r="K782" s="293"/>
      <c r="L782" s="293"/>
      <c r="M782" s="293"/>
      <c r="N782" s="293"/>
      <c r="O782" s="293"/>
      <c r="P782" s="293"/>
      <c r="Q782" s="293"/>
      <c r="R782" s="293"/>
      <c r="S782" s="293"/>
      <c r="T782" s="293"/>
      <c r="U782" s="293"/>
      <c r="V782" s="293"/>
      <c r="W782" s="293"/>
      <c r="X782" s="293"/>
      <c r="Y782" s="293"/>
      <c r="Z782" s="293"/>
      <c r="AA782" s="293"/>
      <c r="AB782" s="293"/>
      <c r="AC782" s="293"/>
      <c r="AD782" s="293"/>
    </row>
    <row r="783" spans="1:30" ht="14.25" customHeight="1" x14ac:dyDescent="0.3">
      <c r="A783" s="293"/>
      <c r="B783" s="293"/>
      <c r="C783" s="293"/>
      <c r="D783" s="293"/>
      <c r="E783" s="293"/>
      <c r="F783" s="293"/>
      <c r="G783" s="293"/>
      <c r="H783" s="293"/>
      <c r="I783" s="293"/>
      <c r="J783" s="293"/>
      <c r="K783" s="293"/>
      <c r="L783" s="293"/>
      <c r="M783" s="293"/>
      <c r="N783" s="293"/>
      <c r="O783" s="293"/>
      <c r="P783" s="293"/>
      <c r="Q783" s="293"/>
      <c r="R783" s="293"/>
      <c r="S783" s="293"/>
      <c r="T783" s="293"/>
      <c r="U783" s="293"/>
      <c r="V783" s="293"/>
      <c r="W783" s="293"/>
      <c r="X783" s="293"/>
      <c r="Y783" s="293"/>
      <c r="Z783" s="293"/>
      <c r="AA783" s="293"/>
      <c r="AB783" s="293"/>
      <c r="AC783" s="293"/>
      <c r="AD783" s="293"/>
    </row>
    <row r="784" spans="1:30" ht="14.25" customHeight="1" x14ac:dyDescent="0.3">
      <c r="A784" s="293"/>
      <c r="B784" s="293"/>
      <c r="C784" s="293"/>
      <c r="D784" s="293"/>
      <c r="E784" s="293"/>
      <c r="F784" s="293"/>
      <c r="G784" s="293"/>
      <c r="H784" s="293"/>
      <c r="I784" s="293"/>
      <c r="J784" s="293"/>
      <c r="K784" s="293"/>
      <c r="L784" s="293"/>
      <c r="M784" s="293"/>
      <c r="N784" s="293"/>
      <c r="O784" s="293"/>
      <c r="P784" s="293"/>
      <c r="Q784" s="293"/>
      <c r="R784" s="293"/>
      <c r="S784" s="293"/>
      <c r="T784" s="293"/>
      <c r="U784" s="293"/>
      <c r="V784" s="293"/>
      <c r="W784" s="293"/>
      <c r="X784" s="293"/>
      <c r="Y784" s="293"/>
      <c r="Z784" s="293"/>
      <c r="AA784" s="293"/>
      <c r="AB784" s="293"/>
      <c r="AC784" s="293"/>
      <c r="AD784" s="293"/>
    </row>
    <row r="785" spans="1:30" ht="14.25" customHeight="1" x14ac:dyDescent="0.3">
      <c r="A785" s="293"/>
      <c r="B785" s="293"/>
      <c r="C785" s="293"/>
      <c r="D785" s="293"/>
      <c r="E785" s="293"/>
      <c r="F785" s="293"/>
      <c r="G785" s="293"/>
      <c r="H785" s="293"/>
      <c r="I785" s="293"/>
      <c r="J785" s="293"/>
      <c r="K785" s="293"/>
      <c r="L785" s="293"/>
      <c r="M785" s="293"/>
      <c r="N785" s="293"/>
      <c r="O785" s="293"/>
      <c r="P785" s="293"/>
      <c r="Q785" s="293"/>
      <c r="R785" s="293"/>
      <c r="S785" s="293"/>
      <c r="T785" s="293"/>
      <c r="U785" s="293"/>
      <c r="V785" s="293"/>
      <c r="W785" s="293"/>
      <c r="X785" s="293"/>
      <c r="Y785" s="293"/>
      <c r="Z785" s="293"/>
      <c r="AA785" s="293"/>
      <c r="AB785" s="293"/>
      <c r="AC785" s="293"/>
      <c r="AD785" s="293"/>
    </row>
    <row r="786" spans="1:30" ht="14.25" customHeight="1" x14ac:dyDescent="0.3">
      <c r="A786" s="293"/>
      <c r="B786" s="293"/>
      <c r="C786" s="293"/>
      <c r="D786" s="293"/>
      <c r="E786" s="293"/>
      <c r="F786" s="293"/>
      <c r="G786" s="293"/>
      <c r="H786" s="293"/>
      <c r="I786" s="293"/>
      <c r="J786" s="293"/>
      <c r="K786" s="293"/>
      <c r="L786" s="293"/>
      <c r="M786" s="293"/>
      <c r="N786" s="293"/>
      <c r="O786" s="293"/>
      <c r="P786" s="293"/>
      <c r="Q786" s="293"/>
      <c r="R786" s="293"/>
      <c r="S786" s="293"/>
      <c r="T786" s="293"/>
      <c r="U786" s="293"/>
      <c r="V786" s="293"/>
      <c r="W786" s="293"/>
      <c r="X786" s="293"/>
      <c r="Y786" s="293"/>
      <c r="Z786" s="293"/>
      <c r="AA786" s="293"/>
      <c r="AB786" s="293"/>
      <c r="AC786" s="293"/>
      <c r="AD786" s="293"/>
    </row>
    <row r="787" spans="1:30" ht="14.25" customHeight="1" x14ac:dyDescent="0.3">
      <c r="A787" s="293"/>
      <c r="B787" s="293"/>
      <c r="C787" s="293"/>
      <c r="D787" s="293"/>
      <c r="E787" s="293"/>
      <c r="F787" s="293"/>
      <c r="G787" s="293"/>
      <c r="H787" s="293"/>
      <c r="I787" s="293"/>
      <c r="J787" s="293"/>
      <c r="K787" s="293"/>
      <c r="L787" s="293"/>
      <c r="M787" s="293"/>
      <c r="N787" s="293"/>
      <c r="O787" s="293"/>
      <c r="P787" s="293"/>
      <c r="Q787" s="293"/>
      <c r="R787" s="293"/>
      <c r="S787" s="293"/>
      <c r="T787" s="293"/>
      <c r="U787" s="293"/>
      <c r="V787" s="293"/>
      <c r="W787" s="293"/>
      <c r="X787" s="293"/>
      <c r="Y787" s="293"/>
      <c r="Z787" s="293"/>
      <c r="AA787" s="293"/>
      <c r="AB787" s="293"/>
      <c r="AC787" s="293"/>
      <c r="AD787" s="293"/>
    </row>
    <row r="788" spans="1:30" ht="14.25" customHeight="1" x14ac:dyDescent="0.3">
      <c r="A788" s="293"/>
      <c r="B788" s="293"/>
      <c r="C788" s="293"/>
      <c r="D788" s="293"/>
      <c r="E788" s="293"/>
      <c r="F788" s="293"/>
      <c r="G788" s="293"/>
      <c r="H788" s="293"/>
      <c r="I788" s="293"/>
      <c r="J788" s="293"/>
      <c r="K788" s="293"/>
      <c r="L788" s="293"/>
      <c r="M788" s="293"/>
      <c r="N788" s="293"/>
      <c r="O788" s="293"/>
      <c r="P788" s="293"/>
      <c r="Q788" s="293"/>
      <c r="R788" s="293"/>
      <c r="S788" s="293"/>
      <c r="T788" s="293"/>
      <c r="U788" s="293"/>
      <c r="V788" s="293"/>
      <c r="W788" s="293"/>
      <c r="X788" s="293"/>
      <c r="Y788" s="293"/>
      <c r="Z788" s="293"/>
      <c r="AA788" s="293"/>
      <c r="AB788" s="293"/>
      <c r="AC788" s="293"/>
      <c r="AD788" s="293"/>
    </row>
    <row r="789" spans="1:30" ht="14.25" customHeight="1" x14ac:dyDescent="0.3">
      <c r="A789" s="293"/>
      <c r="B789" s="293"/>
      <c r="C789" s="293"/>
      <c r="D789" s="293"/>
      <c r="E789" s="293"/>
      <c r="F789" s="293"/>
      <c r="G789" s="293"/>
      <c r="H789" s="293"/>
      <c r="I789" s="293"/>
      <c r="J789" s="293"/>
      <c r="K789" s="293"/>
      <c r="L789" s="293"/>
      <c r="M789" s="293"/>
      <c r="N789" s="293"/>
      <c r="O789" s="293"/>
      <c r="P789" s="293"/>
      <c r="Q789" s="293"/>
      <c r="R789" s="293"/>
      <c r="S789" s="293"/>
      <c r="T789" s="293"/>
      <c r="U789" s="293"/>
      <c r="V789" s="293"/>
      <c r="W789" s="293"/>
      <c r="X789" s="293"/>
      <c r="Y789" s="293"/>
      <c r="Z789" s="293"/>
      <c r="AA789" s="293"/>
      <c r="AB789" s="293"/>
      <c r="AC789" s="293"/>
      <c r="AD789" s="293"/>
    </row>
    <row r="790" spans="1:30" ht="14.25" customHeight="1" x14ac:dyDescent="0.3">
      <c r="A790" s="293"/>
      <c r="B790" s="293"/>
      <c r="C790" s="293"/>
      <c r="D790" s="293"/>
      <c r="E790" s="293"/>
      <c r="F790" s="293"/>
      <c r="G790" s="293"/>
      <c r="H790" s="293"/>
      <c r="I790" s="293"/>
      <c r="J790" s="293"/>
      <c r="K790" s="293"/>
      <c r="L790" s="293"/>
      <c r="M790" s="293"/>
      <c r="N790" s="293"/>
      <c r="O790" s="293"/>
      <c r="P790" s="293"/>
      <c r="Q790" s="293"/>
      <c r="R790" s="293"/>
      <c r="S790" s="293"/>
      <c r="T790" s="293"/>
      <c r="U790" s="293"/>
      <c r="V790" s="293"/>
      <c r="W790" s="293"/>
      <c r="X790" s="293"/>
      <c r="Y790" s="293"/>
      <c r="Z790" s="293"/>
      <c r="AA790" s="293"/>
      <c r="AB790" s="293"/>
      <c r="AC790" s="293"/>
      <c r="AD790" s="293"/>
    </row>
    <row r="791" spans="1:30" ht="14.25" customHeight="1" x14ac:dyDescent="0.3">
      <c r="A791" s="293"/>
      <c r="B791" s="293"/>
      <c r="C791" s="293"/>
      <c r="D791" s="293"/>
      <c r="E791" s="293"/>
      <c r="F791" s="293"/>
      <c r="G791" s="293"/>
      <c r="H791" s="293"/>
      <c r="I791" s="293"/>
      <c r="J791" s="293"/>
      <c r="K791" s="293"/>
      <c r="L791" s="293"/>
      <c r="M791" s="293"/>
      <c r="N791" s="293"/>
      <c r="O791" s="293"/>
      <c r="P791" s="293"/>
      <c r="Q791" s="293"/>
      <c r="R791" s="293"/>
      <c r="S791" s="293"/>
      <c r="T791" s="293"/>
      <c r="U791" s="293"/>
      <c r="V791" s="293"/>
      <c r="W791" s="293"/>
      <c r="X791" s="293"/>
      <c r="Y791" s="293"/>
      <c r="Z791" s="293"/>
      <c r="AA791" s="293"/>
      <c r="AB791" s="293"/>
      <c r="AC791" s="293"/>
      <c r="AD791" s="293"/>
    </row>
    <row r="792" spans="1:30" ht="14.25" customHeight="1" x14ac:dyDescent="0.3">
      <c r="A792" s="293"/>
      <c r="B792" s="293"/>
      <c r="C792" s="293"/>
      <c r="D792" s="293"/>
      <c r="E792" s="293"/>
      <c r="F792" s="293"/>
      <c r="G792" s="293"/>
      <c r="H792" s="293"/>
      <c r="I792" s="293"/>
      <c r="J792" s="293"/>
      <c r="K792" s="293"/>
      <c r="L792" s="293"/>
      <c r="M792" s="293"/>
      <c r="N792" s="293"/>
      <c r="O792" s="293"/>
      <c r="P792" s="293"/>
      <c r="Q792" s="293"/>
      <c r="R792" s="293"/>
      <c r="S792" s="293"/>
      <c r="T792" s="293"/>
      <c r="U792" s="293"/>
      <c r="V792" s="293"/>
      <c r="W792" s="293"/>
      <c r="X792" s="293"/>
      <c r="Y792" s="293"/>
      <c r="Z792" s="293"/>
      <c r="AA792" s="293"/>
      <c r="AB792" s="293"/>
      <c r="AC792" s="293"/>
      <c r="AD792" s="293"/>
    </row>
    <row r="793" spans="1:30" ht="14.25" customHeight="1" x14ac:dyDescent="0.3">
      <c r="A793" s="293"/>
      <c r="B793" s="293"/>
      <c r="C793" s="293"/>
      <c r="D793" s="293"/>
      <c r="E793" s="293"/>
      <c r="F793" s="293"/>
      <c r="G793" s="293"/>
      <c r="H793" s="293"/>
      <c r="I793" s="293"/>
      <c r="J793" s="293"/>
      <c r="K793" s="293"/>
      <c r="L793" s="293"/>
      <c r="M793" s="293"/>
      <c r="N793" s="293"/>
      <c r="O793" s="293"/>
      <c r="P793" s="293"/>
      <c r="Q793" s="293"/>
      <c r="R793" s="293"/>
      <c r="S793" s="293"/>
      <c r="T793" s="293"/>
      <c r="U793" s="293"/>
      <c r="V793" s="293"/>
      <c r="W793" s="293"/>
      <c r="X793" s="293"/>
      <c r="Y793" s="293"/>
      <c r="Z793" s="293"/>
      <c r="AA793" s="293"/>
      <c r="AB793" s="293"/>
      <c r="AC793" s="293"/>
      <c r="AD793" s="293"/>
    </row>
    <row r="794" spans="1:30" ht="14.25" customHeight="1" x14ac:dyDescent="0.3">
      <c r="A794" s="293"/>
      <c r="B794" s="293"/>
      <c r="C794" s="293"/>
      <c r="D794" s="293"/>
      <c r="E794" s="293"/>
      <c r="F794" s="293"/>
      <c r="G794" s="293"/>
      <c r="H794" s="293"/>
      <c r="I794" s="293"/>
      <c r="J794" s="293"/>
      <c r="K794" s="293"/>
      <c r="L794" s="293"/>
      <c r="M794" s="293"/>
      <c r="N794" s="293"/>
      <c r="O794" s="293"/>
      <c r="P794" s="293"/>
      <c r="Q794" s="293"/>
      <c r="R794" s="293"/>
      <c r="S794" s="293"/>
      <c r="T794" s="293"/>
      <c r="U794" s="293"/>
      <c r="V794" s="293"/>
      <c r="W794" s="293"/>
      <c r="X794" s="293"/>
      <c r="Y794" s="293"/>
      <c r="Z794" s="293"/>
      <c r="AA794" s="293"/>
      <c r="AB794" s="293"/>
      <c r="AC794" s="293"/>
      <c r="AD794" s="293"/>
    </row>
    <row r="795" spans="1:30" ht="14.25" customHeight="1" x14ac:dyDescent="0.3">
      <c r="A795" s="293"/>
      <c r="B795" s="293"/>
      <c r="C795" s="293"/>
      <c r="D795" s="293"/>
      <c r="E795" s="293"/>
      <c r="F795" s="293"/>
      <c r="G795" s="293"/>
      <c r="H795" s="293"/>
      <c r="I795" s="293"/>
      <c r="J795" s="293"/>
      <c r="K795" s="293"/>
      <c r="L795" s="293"/>
      <c r="M795" s="293"/>
      <c r="N795" s="293"/>
      <c r="O795" s="293"/>
      <c r="P795" s="293"/>
      <c r="Q795" s="293"/>
      <c r="R795" s="293"/>
      <c r="S795" s="293"/>
      <c r="T795" s="293"/>
      <c r="U795" s="293"/>
      <c r="V795" s="293"/>
      <c r="W795" s="293"/>
      <c r="X795" s="293"/>
      <c r="Y795" s="293"/>
      <c r="Z795" s="293"/>
      <c r="AA795" s="293"/>
      <c r="AB795" s="293"/>
      <c r="AC795" s="293"/>
      <c r="AD795" s="293"/>
    </row>
    <row r="796" spans="1:30" ht="14.25" customHeight="1" x14ac:dyDescent="0.3">
      <c r="A796" s="293"/>
      <c r="B796" s="293"/>
      <c r="C796" s="293"/>
      <c r="D796" s="293"/>
      <c r="E796" s="293"/>
      <c r="F796" s="293"/>
      <c r="G796" s="293"/>
      <c r="H796" s="293"/>
      <c r="I796" s="293"/>
      <c r="J796" s="293"/>
      <c r="K796" s="293"/>
      <c r="L796" s="293"/>
      <c r="M796" s="293"/>
      <c r="N796" s="293"/>
      <c r="O796" s="293"/>
      <c r="P796" s="293"/>
      <c r="Q796" s="293"/>
      <c r="R796" s="293"/>
      <c r="S796" s="293"/>
      <c r="T796" s="293"/>
      <c r="U796" s="293"/>
      <c r="V796" s="293"/>
      <c r="W796" s="293"/>
      <c r="X796" s="293"/>
      <c r="Y796" s="293"/>
      <c r="Z796" s="293"/>
      <c r="AA796" s="293"/>
      <c r="AB796" s="293"/>
      <c r="AC796" s="293"/>
      <c r="AD796" s="293"/>
    </row>
    <row r="797" spans="1:30" ht="14.25" customHeight="1" x14ac:dyDescent="0.3">
      <c r="A797" s="293"/>
      <c r="B797" s="293"/>
      <c r="C797" s="293"/>
      <c r="D797" s="293"/>
      <c r="E797" s="293"/>
      <c r="F797" s="293"/>
      <c r="G797" s="293"/>
      <c r="H797" s="293"/>
      <c r="I797" s="293"/>
      <c r="J797" s="293"/>
      <c r="K797" s="293"/>
      <c r="L797" s="293"/>
      <c r="M797" s="293"/>
      <c r="N797" s="293"/>
      <c r="O797" s="293"/>
      <c r="P797" s="293"/>
      <c r="Q797" s="293"/>
      <c r="R797" s="293"/>
      <c r="S797" s="293"/>
      <c r="T797" s="293"/>
      <c r="U797" s="293"/>
      <c r="V797" s="293"/>
      <c r="W797" s="293"/>
      <c r="X797" s="293"/>
      <c r="Y797" s="293"/>
      <c r="Z797" s="293"/>
      <c r="AA797" s="293"/>
      <c r="AB797" s="293"/>
      <c r="AC797" s="293"/>
      <c r="AD797" s="293"/>
    </row>
    <row r="798" spans="1:30" ht="14.25" customHeight="1" x14ac:dyDescent="0.3">
      <c r="A798" s="293"/>
      <c r="B798" s="293"/>
      <c r="C798" s="293"/>
      <c r="D798" s="293"/>
      <c r="E798" s="293"/>
      <c r="F798" s="293"/>
      <c r="G798" s="293"/>
      <c r="H798" s="293"/>
      <c r="I798" s="293"/>
      <c r="J798" s="293"/>
      <c r="K798" s="293"/>
      <c r="L798" s="293"/>
      <c r="M798" s="293"/>
      <c r="N798" s="293"/>
      <c r="O798" s="293"/>
      <c r="P798" s="293"/>
      <c r="Q798" s="293"/>
      <c r="R798" s="293"/>
      <c r="S798" s="293"/>
      <c r="T798" s="293"/>
      <c r="U798" s="293"/>
      <c r="V798" s="293"/>
      <c r="W798" s="293"/>
      <c r="X798" s="293"/>
      <c r="Y798" s="293"/>
      <c r="Z798" s="293"/>
      <c r="AA798" s="293"/>
      <c r="AB798" s="293"/>
      <c r="AC798" s="293"/>
      <c r="AD798" s="293"/>
    </row>
    <row r="799" spans="1:30" ht="14.25" customHeight="1" x14ac:dyDescent="0.3">
      <c r="A799" s="293"/>
      <c r="B799" s="293"/>
      <c r="C799" s="293"/>
      <c r="D799" s="293"/>
      <c r="E799" s="293"/>
      <c r="F799" s="293"/>
      <c r="G799" s="293"/>
      <c r="H799" s="293"/>
      <c r="I799" s="293"/>
      <c r="J799" s="293"/>
      <c r="K799" s="293"/>
      <c r="L799" s="293"/>
      <c r="M799" s="293"/>
      <c r="N799" s="293"/>
      <c r="O799" s="293"/>
      <c r="P799" s="293"/>
      <c r="Q799" s="293"/>
      <c r="R799" s="293"/>
      <c r="S799" s="293"/>
      <c r="T799" s="293"/>
      <c r="U799" s="293"/>
      <c r="V799" s="293"/>
      <c r="W799" s="293"/>
      <c r="X799" s="293"/>
      <c r="Y799" s="293"/>
      <c r="Z799" s="293"/>
      <c r="AA799" s="293"/>
      <c r="AB799" s="293"/>
      <c r="AC799" s="293"/>
      <c r="AD799" s="293"/>
    </row>
    <row r="800" spans="1:30" ht="14.25" customHeight="1" x14ac:dyDescent="0.3">
      <c r="A800" s="293"/>
      <c r="B800" s="293"/>
      <c r="C800" s="293"/>
      <c r="D800" s="293"/>
      <c r="E800" s="293"/>
      <c r="F800" s="293"/>
      <c r="G800" s="293"/>
      <c r="H800" s="293"/>
      <c r="I800" s="293"/>
      <c r="J800" s="293"/>
      <c r="K800" s="293"/>
      <c r="L800" s="293"/>
      <c r="M800" s="293"/>
      <c r="N800" s="293"/>
      <c r="O800" s="293"/>
      <c r="P800" s="293"/>
      <c r="Q800" s="293"/>
      <c r="R800" s="293"/>
      <c r="S800" s="293"/>
      <c r="T800" s="293"/>
      <c r="U800" s="293"/>
      <c r="V800" s="293"/>
      <c r="W800" s="293"/>
      <c r="X800" s="293"/>
      <c r="Y800" s="293"/>
      <c r="Z800" s="293"/>
      <c r="AA800" s="293"/>
      <c r="AB800" s="293"/>
      <c r="AC800" s="293"/>
      <c r="AD800" s="293"/>
    </row>
    <row r="801" spans="1:30" ht="14.25" customHeight="1" x14ac:dyDescent="0.3">
      <c r="A801" s="293"/>
      <c r="B801" s="293"/>
      <c r="C801" s="293"/>
      <c r="D801" s="293"/>
      <c r="E801" s="293"/>
      <c r="F801" s="293"/>
      <c r="G801" s="293"/>
      <c r="H801" s="293"/>
      <c r="I801" s="293"/>
      <c r="J801" s="293"/>
      <c r="K801" s="293"/>
      <c r="L801" s="293"/>
      <c r="M801" s="293"/>
      <c r="N801" s="293"/>
      <c r="O801" s="293"/>
      <c r="P801" s="293"/>
      <c r="Q801" s="293"/>
      <c r="R801" s="293"/>
      <c r="S801" s="293"/>
      <c r="T801" s="293"/>
      <c r="U801" s="293"/>
      <c r="V801" s="293"/>
      <c r="W801" s="293"/>
      <c r="X801" s="293"/>
      <c r="Y801" s="293"/>
      <c r="Z801" s="293"/>
      <c r="AA801" s="293"/>
      <c r="AB801" s="293"/>
      <c r="AC801" s="293"/>
      <c r="AD801" s="293"/>
    </row>
    <row r="802" spans="1:30" ht="14.25" customHeight="1" x14ac:dyDescent="0.3">
      <c r="A802" s="293"/>
      <c r="B802" s="293"/>
      <c r="C802" s="293"/>
      <c r="D802" s="293"/>
      <c r="E802" s="293"/>
      <c r="F802" s="293"/>
      <c r="G802" s="293"/>
      <c r="H802" s="293"/>
      <c r="I802" s="293"/>
      <c r="J802" s="293"/>
      <c r="K802" s="293"/>
      <c r="L802" s="293"/>
      <c r="M802" s="293"/>
      <c r="N802" s="293"/>
      <c r="O802" s="293"/>
      <c r="P802" s="293"/>
      <c r="Q802" s="293"/>
      <c r="R802" s="293"/>
      <c r="S802" s="293"/>
      <c r="T802" s="293"/>
      <c r="U802" s="293"/>
      <c r="V802" s="293"/>
      <c r="W802" s="293"/>
      <c r="X802" s="293"/>
      <c r="Y802" s="293"/>
      <c r="Z802" s="293"/>
      <c r="AA802" s="293"/>
      <c r="AB802" s="293"/>
      <c r="AC802" s="293"/>
      <c r="AD802" s="293"/>
    </row>
    <row r="803" spans="1:30" ht="14.25" customHeight="1" x14ac:dyDescent="0.3">
      <c r="A803" s="293"/>
      <c r="B803" s="293"/>
      <c r="C803" s="293"/>
      <c r="D803" s="293"/>
      <c r="E803" s="293"/>
      <c r="F803" s="293"/>
      <c r="G803" s="293"/>
      <c r="H803" s="293"/>
      <c r="I803" s="293"/>
      <c r="J803" s="293"/>
      <c r="K803" s="293"/>
      <c r="L803" s="293"/>
      <c r="M803" s="293"/>
      <c r="N803" s="293"/>
      <c r="O803" s="293"/>
      <c r="P803" s="293"/>
      <c r="Q803" s="293"/>
      <c r="R803" s="293"/>
      <c r="S803" s="293"/>
      <c r="T803" s="293"/>
      <c r="U803" s="293"/>
      <c r="V803" s="293"/>
      <c r="W803" s="293"/>
      <c r="X803" s="293"/>
      <c r="Y803" s="293"/>
      <c r="Z803" s="293"/>
      <c r="AA803" s="293"/>
      <c r="AB803" s="293"/>
      <c r="AC803" s="293"/>
      <c r="AD803" s="293"/>
    </row>
    <row r="804" spans="1:30" ht="14.25" customHeight="1" x14ac:dyDescent="0.3">
      <c r="A804" s="293"/>
      <c r="B804" s="293"/>
      <c r="C804" s="293"/>
      <c r="D804" s="293"/>
      <c r="E804" s="293"/>
      <c r="F804" s="293"/>
      <c r="G804" s="293"/>
      <c r="H804" s="293"/>
      <c r="I804" s="293"/>
      <c r="J804" s="293"/>
      <c r="K804" s="293"/>
      <c r="L804" s="293"/>
      <c r="M804" s="293"/>
      <c r="N804" s="293"/>
      <c r="O804" s="293"/>
      <c r="P804" s="293"/>
      <c r="Q804" s="293"/>
      <c r="R804" s="293"/>
      <c r="S804" s="293"/>
      <c r="T804" s="293"/>
      <c r="U804" s="293"/>
      <c r="V804" s="293"/>
      <c r="W804" s="293"/>
      <c r="X804" s="293"/>
      <c r="Y804" s="293"/>
      <c r="Z804" s="293"/>
      <c r="AA804" s="293"/>
      <c r="AB804" s="293"/>
      <c r="AC804" s="293"/>
      <c r="AD804" s="293"/>
    </row>
    <row r="805" spans="1:30" ht="14.25" customHeight="1" x14ac:dyDescent="0.3">
      <c r="A805" s="293"/>
      <c r="B805" s="293"/>
      <c r="C805" s="293"/>
      <c r="D805" s="293"/>
      <c r="E805" s="293"/>
      <c r="F805" s="293"/>
      <c r="G805" s="293"/>
      <c r="H805" s="293"/>
      <c r="I805" s="293"/>
      <c r="J805" s="293"/>
      <c r="K805" s="293"/>
      <c r="L805" s="293"/>
      <c r="M805" s="293"/>
      <c r="N805" s="293"/>
      <c r="O805" s="293"/>
      <c r="P805" s="293"/>
      <c r="Q805" s="293"/>
      <c r="R805" s="293"/>
      <c r="S805" s="293"/>
      <c r="T805" s="293"/>
      <c r="U805" s="293"/>
      <c r="V805" s="293"/>
      <c r="W805" s="293"/>
      <c r="X805" s="293"/>
      <c r="Y805" s="293"/>
      <c r="Z805" s="293"/>
      <c r="AA805" s="293"/>
      <c r="AB805" s="293"/>
      <c r="AC805" s="293"/>
      <c r="AD805" s="293"/>
    </row>
    <row r="806" spans="1:30" ht="14.25" customHeight="1" x14ac:dyDescent="0.3">
      <c r="A806" s="293"/>
      <c r="B806" s="293"/>
      <c r="C806" s="293"/>
      <c r="D806" s="293"/>
      <c r="E806" s="293"/>
      <c r="F806" s="293"/>
      <c r="G806" s="293"/>
      <c r="H806" s="293"/>
      <c r="I806" s="293"/>
      <c r="J806" s="293"/>
      <c r="K806" s="293"/>
      <c r="L806" s="293"/>
      <c r="M806" s="293"/>
      <c r="N806" s="293"/>
      <c r="O806" s="293"/>
      <c r="P806" s="293"/>
      <c r="Q806" s="293"/>
      <c r="R806" s="293"/>
      <c r="S806" s="293"/>
      <c r="T806" s="293"/>
      <c r="U806" s="293"/>
      <c r="V806" s="293"/>
      <c r="W806" s="293"/>
      <c r="X806" s="293"/>
      <c r="Y806" s="293"/>
      <c r="Z806" s="293"/>
      <c r="AA806" s="293"/>
      <c r="AB806" s="293"/>
      <c r="AC806" s="293"/>
      <c r="AD806" s="293"/>
    </row>
    <row r="807" spans="1:30" ht="14.25" customHeight="1" x14ac:dyDescent="0.3">
      <c r="A807" s="293"/>
      <c r="B807" s="293"/>
      <c r="C807" s="293"/>
      <c r="D807" s="293"/>
      <c r="E807" s="293"/>
      <c r="F807" s="293"/>
      <c r="G807" s="293"/>
      <c r="H807" s="293"/>
      <c r="I807" s="293"/>
      <c r="J807" s="293"/>
      <c r="K807" s="293"/>
      <c r="L807" s="293"/>
      <c r="M807" s="293"/>
      <c r="N807" s="293"/>
      <c r="O807" s="293"/>
      <c r="P807" s="293"/>
      <c r="Q807" s="293"/>
      <c r="R807" s="293"/>
      <c r="S807" s="293"/>
      <c r="T807" s="293"/>
      <c r="U807" s="293"/>
      <c r="V807" s="293"/>
      <c r="W807" s="293"/>
      <c r="X807" s="293"/>
      <c r="Y807" s="293"/>
      <c r="Z807" s="293"/>
      <c r="AA807" s="293"/>
      <c r="AB807" s="293"/>
      <c r="AC807" s="293"/>
      <c r="AD807" s="293"/>
    </row>
    <row r="808" spans="1:30" ht="14.25" customHeight="1" x14ac:dyDescent="0.3">
      <c r="A808" s="293"/>
      <c r="B808" s="293"/>
      <c r="C808" s="293"/>
      <c r="D808" s="293"/>
      <c r="E808" s="293"/>
      <c r="F808" s="293"/>
      <c r="G808" s="293"/>
      <c r="H808" s="293"/>
      <c r="I808" s="293"/>
      <c r="J808" s="293"/>
      <c r="K808" s="293"/>
      <c r="L808" s="293"/>
      <c r="M808" s="293"/>
      <c r="N808" s="293"/>
      <c r="O808" s="293"/>
      <c r="P808" s="293"/>
      <c r="Q808" s="293"/>
      <c r="R808" s="293"/>
      <c r="S808" s="293"/>
      <c r="T808" s="293"/>
      <c r="U808" s="293"/>
      <c r="V808" s="293"/>
      <c r="W808" s="293"/>
      <c r="X808" s="293"/>
      <c r="Y808" s="293"/>
      <c r="Z808" s="293"/>
      <c r="AA808" s="293"/>
      <c r="AB808" s="293"/>
      <c r="AC808" s="293"/>
      <c r="AD808" s="293"/>
    </row>
    <row r="809" spans="1:30" ht="14.25" customHeight="1" x14ac:dyDescent="0.3">
      <c r="A809" s="293"/>
      <c r="B809" s="293"/>
      <c r="C809" s="293"/>
      <c r="D809" s="293"/>
      <c r="E809" s="293"/>
      <c r="F809" s="293"/>
      <c r="G809" s="293"/>
      <c r="H809" s="293"/>
      <c r="I809" s="293"/>
      <c r="J809" s="293"/>
      <c r="K809" s="293"/>
      <c r="L809" s="293"/>
      <c r="M809" s="293"/>
      <c r="N809" s="293"/>
      <c r="O809" s="293"/>
      <c r="P809" s="293"/>
      <c r="Q809" s="293"/>
      <c r="R809" s="293"/>
      <c r="S809" s="293"/>
      <c r="T809" s="293"/>
      <c r="U809" s="293"/>
      <c r="V809" s="293"/>
      <c r="W809" s="293"/>
      <c r="X809" s="293"/>
      <c r="Y809" s="293"/>
      <c r="Z809" s="293"/>
      <c r="AA809" s="293"/>
      <c r="AB809" s="293"/>
      <c r="AC809" s="293"/>
      <c r="AD809" s="293"/>
    </row>
    <row r="810" spans="1:30" ht="14.25" customHeight="1" x14ac:dyDescent="0.3">
      <c r="A810" s="293"/>
      <c r="B810" s="293"/>
      <c r="C810" s="293"/>
      <c r="D810" s="293"/>
      <c r="E810" s="293"/>
      <c r="F810" s="293"/>
      <c r="G810" s="293"/>
      <c r="H810" s="293"/>
      <c r="I810" s="293"/>
      <c r="J810" s="293"/>
      <c r="K810" s="293"/>
      <c r="L810" s="293"/>
      <c r="M810" s="293"/>
      <c r="N810" s="293"/>
      <c r="O810" s="293"/>
      <c r="P810" s="293"/>
      <c r="Q810" s="293"/>
      <c r="R810" s="293"/>
      <c r="S810" s="293"/>
      <c r="T810" s="293"/>
      <c r="U810" s="293"/>
      <c r="V810" s="293"/>
      <c r="W810" s="293"/>
      <c r="X810" s="293"/>
      <c r="Y810" s="293"/>
      <c r="Z810" s="293"/>
      <c r="AA810" s="293"/>
      <c r="AB810" s="293"/>
      <c r="AC810" s="293"/>
      <c r="AD810" s="293"/>
    </row>
    <row r="811" spans="1:30" ht="14.25" customHeight="1" x14ac:dyDescent="0.3">
      <c r="A811" s="293"/>
      <c r="B811" s="293"/>
      <c r="C811" s="293"/>
      <c r="D811" s="293"/>
      <c r="E811" s="293"/>
      <c r="F811" s="293"/>
      <c r="G811" s="293"/>
      <c r="H811" s="293"/>
      <c r="I811" s="293"/>
      <c r="J811" s="293"/>
      <c r="K811" s="293"/>
      <c r="L811" s="293"/>
      <c r="M811" s="293"/>
      <c r="N811" s="293"/>
      <c r="O811" s="293"/>
      <c r="P811" s="293"/>
      <c r="Q811" s="293"/>
      <c r="R811" s="293"/>
      <c r="S811" s="293"/>
      <c r="T811" s="293"/>
      <c r="U811" s="293"/>
      <c r="V811" s="293"/>
      <c r="W811" s="293"/>
      <c r="X811" s="293"/>
      <c r="Y811" s="293"/>
      <c r="Z811" s="293"/>
      <c r="AA811" s="293"/>
      <c r="AB811" s="293"/>
      <c r="AC811" s="293"/>
      <c r="AD811" s="293"/>
    </row>
    <row r="812" spans="1:30" ht="14.25" customHeight="1" x14ac:dyDescent="0.3">
      <c r="A812" s="293"/>
      <c r="B812" s="293"/>
      <c r="C812" s="293"/>
      <c r="D812" s="293"/>
      <c r="E812" s="293"/>
      <c r="F812" s="293"/>
      <c r="G812" s="293"/>
      <c r="H812" s="293"/>
      <c r="I812" s="293"/>
      <c r="J812" s="293"/>
      <c r="K812" s="293"/>
      <c r="L812" s="293"/>
      <c r="M812" s="293"/>
      <c r="N812" s="293"/>
      <c r="O812" s="293"/>
      <c r="P812" s="293"/>
      <c r="Q812" s="293"/>
      <c r="R812" s="293"/>
      <c r="S812" s="293"/>
      <c r="T812" s="293"/>
      <c r="U812" s="293"/>
      <c r="V812" s="293"/>
      <c r="W812" s="293"/>
      <c r="X812" s="293"/>
      <c r="Y812" s="293"/>
      <c r="Z812" s="293"/>
      <c r="AA812" s="293"/>
      <c r="AB812" s="293"/>
      <c r="AC812" s="293"/>
      <c r="AD812" s="293"/>
    </row>
    <row r="813" spans="1:30" ht="14.25" customHeight="1" x14ac:dyDescent="0.3">
      <c r="A813" s="293"/>
      <c r="B813" s="293"/>
      <c r="C813" s="293"/>
      <c r="D813" s="293"/>
      <c r="E813" s="293"/>
      <c r="F813" s="293"/>
      <c r="G813" s="293"/>
      <c r="H813" s="293"/>
      <c r="I813" s="293"/>
      <c r="J813" s="293"/>
      <c r="K813" s="293"/>
      <c r="L813" s="293"/>
      <c r="M813" s="293"/>
      <c r="N813" s="293"/>
      <c r="O813" s="293"/>
      <c r="P813" s="293"/>
      <c r="Q813" s="293"/>
      <c r="R813" s="293"/>
      <c r="S813" s="293"/>
      <c r="T813" s="293"/>
      <c r="U813" s="293"/>
      <c r="V813" s="293"/>
      <c r="W813" s="293"/>
      <c r="X813" s="293"/>
      <c r="Y813" s="293"/>
      <c r="Z813" s="293"/>
      <c r="AA813" s="293"/>
      <c r="AB813" s="293"/>
      <c r="AC813" s="293"/>
      <c r="AD813" s="293"/>
    </row>
    <row r="814" spans="1:30" ht="14.25" customHeight="1" x14ac:dyDescent="0.3">
      <c r="A814" s="293"/>
      <c r="B814" s="293"/>
      <c r="C814" s="293"/>
      <c r="D814" s="293"/>
      <c r="E814" s="293"/>
      <c r="F814" s="293"/>
      <c r="G814" s="293"/>
      <c r="H814" s="293"/>
      <c r="I814" s="293"/>
      <c r="J814" s="293"/>
      <c r="K814" s="293"/>
      <c r="L814" s="293"/>
      <c r="M814" s="293"/>
      <c r="N814" s="293"/>
      <c r="O814" s="293"/>
      <c r="P814" s="293"/>
      <c r="Q814" s="293"/>
      <c r="R814" s="293"/>
      <c r="S814" s="293"/>
      <c r="T814" s="293"/>
      <c r="U814" s="293"/>
      <c r="V814" s="293"/>
      <c r="W814" s="293"/>
      <c r="X814" s="293"/>
      <c r="Y814" s="293"/>
      <c r="Z814" s="293"/>
      <c r="AA814" s="293"/>
      <c r="AB814" s="293"/>
      <c r="AC814" s="293"/>
      <c r="AD814" s="293"/>
    </row>
    <row r="815" spans="1:30" ht="14.25" customHeight="1" x14ac:dyDescent="0.3">
      <c r="A815" s="293"/>
      <c r="B815" s="293"/>
      <c r="C815" s="293"/>
      <c r="D815" s="293"/>
      <c r="E815" s="293"/>
      <c r="F815" s="293"/>
      <c r="G815" s="293"/>
      <c r="H815" s="293"/>
      <c r="I815" s="293"/>
      <c r="J815" s="293"/>
      <c r="K815" s="293"/>
      <c r="L815" s="293"/>
      <c r="M815" s="293"/>
      <c r="N815" s="293"/>
      <c r="O815" s="293"/>
      <c r="P815" s="293"/>
      <c r="Q815" s="293"/>
      <c r="R815" s="293"/>
      <c r="S815" s="293"/>
      <c r="T815" s="293"/>
      <c r="U815" s="293"/>
      <c r="V815" s="293"/>
      <c r="W815" s="293"/>
      <c r="X815" s="293"/>
      <c r="Y815" s="293"/>
      <c r="Z815" s="293"/>
      <c r="AA815" s="293"/>
      <c r="AB815" s="293"/>
      <c r="AC815" s="293"/>
      <c r="AD815" s="293"/>
    </row>
    <row r="816" spans="1:30" ht="14.25" customHeight="1" x14ac:dyDescent="0.3">
      <c r="A816" s="293"/>
      <c r="B816" s="293"/>
      <c r="C816" s="293"/>
      <c r="D816" s="293"/>
      <c r="E816" s="293"/>
      <c r="F816" s="293"/>
      <c r="G816" s="293"/>
      <c r="H816" s="293"/>
      <c r="I816" s="293"/>
      <c r="J816" s="293"/>
      <c r="K816" s="293"/>
      <c r="L816" s="293"/>
      <c r="M816" s="293"/>
      <c r="N816" s="293"/>
      <c r="O816" s="293"/>
      <c r="P816" s="293"/>
      <c r="Q816" s="293"/>
      <c r="R816" s="293"/>
      <c r="S816" s="293"/>
      <c r="T816" s="293"/>
      <c r="U816" s="293"/>
      <c r="V816" s="293"/>
      <c r="W816" s="293"/>
      <c r="X816" s="293"/>
      <c r="Y816" s="293"/>
      <c r="Z816" s="293"/>
      <c r="AA816" s="293"/>
      <c r="AB816" s="293"/>
      <c r="AC816" s="293"/>
      <c r="AD816" s="293"/>
    </row>
    <row r="817" spans="1:30" ht="14.25" customHeight="1" x14ac:dyDescent="0.3">
      <c r="A817" s="293"/>
      <c r="B817" s="293"/>
      <c r="C817" s="293"/>
      <c r="D817" s="293"/>
      <c r="E817" s="293"/>
      <c r="F817" s="293"/>
      <c r="G817" s="293"/>
      <c r="H817" s="293"/>
      <c r="I817" s="293"/>
      <c r="J817" s="293"/>
      <c r="K817" s="293"/>
      <c r="L817" s="293"/>
      <c r="M817" s="293"/>
      <c r="N817" s="293"/>
      <c r="O817" s="293"/>
      <c r="P817" s="293"/>
      <c r="Q817" s="293"/>
      <c r="R817" s="293"/>
      <c r="S817" s="293"/>
      <c r="T817" s="293"/>
      <c r="U817" s="293"/>
      <c r="V817" s="293"/>
      <c r="W817" s="293"/>
      <c r="X817" s="293"/>
      <c r="Y817" s="293"/>
      <c r="Z817" s="293"/>
      <c r="AA817" s="293"/>
      <c r="AB817" s="293"/>
      <c r="AC817" s="293"/>
      <c r="AD817" s="293"/>
    </row>
    <row r="818" spans="1:30" ht="14.25" customHeight="1" x14ac:dyDescent="0.3">
      <c r="A818" s="293"/>
      <c r="B818" s="293"/>
      <c r="C818" s="293"/>
      <c r="D818" s="293"/>
      <c r="E818" s="293"/>
      <c r="F818" s="293"/>
      <c r="G818" s="293"/>
      <c r="H818" s="293"/>
      <c r="I818" s="293"/>
      <c r="J818" s="293"/>
      <c r="K818" s="293"/>
      <c r="L818" s="293"/>
      <c r="M818" s="293"/>
      <c r="N818" s="293"/>
      <c r="O818" s="293"/>
      <c r="P818" s="293"/>
      <c r="Q818" s="293"/>
      <c r="R818" s="293"/>
      <c r="S818" s="293"/>
      <c r="T818" s="293"/>
      <c r="U818" s="293"/>
      <c r="V818" s="293"/>
      <c r="W818" s="293"/>
      <c r="X818" s="293"/>
      <c r="Y818" s="293"/>
      <c r="Z818" s="293"/>
      <c r="AA818" s="293"/>
      <c r="AB818" s="293"/>
      <c r="AC818" s="293"/>
      <c r="AD818" s="293"/>
    </row>
    <row r="819" spans="1:30" ht="14.25" customHeight="1" x14ac:dyDescent="0.3">
      <c r="A819" s="293"/>
      <c r="B819" s="293"/>
      <c r="C819" s="293"/>
      <c r="D819" s="293"/>
      <c r="E819" s="293"/>
      <c r="F819" s="293"/>
      <c r="G819" s="293"/>
      <c r="H819" s="293"/>
      <c r="I819" s="293"/>
      <c r="J819" s="293"/>
      <c r="K819" s="293"/>
      <c r="L819" s="293"/>
      <c r="M819" s="293"/>
      <c r="N819" s="293"/>
      <c r="O819" s="293"/>
      <c r="P819" s="293"/>
      <c r="Q819" s="293"/>
      <c r="R819" s="293"/>
      <c r="S819" s="293"/>
      <c r="T819" s="293"/>
      <c r="U819" s="293"/>
      <c r="V819" s="293"/>
      <c r="W819" s="293"/>
      <c r="X819" s="293"/>
      <c r="Y819" s="293"/>
      <c r="Z819" s="293"/>
      <c r="AA819" s="293"/>
      <c r="AB819" s="293"/>
      <c r="AC819" s="293"/>
      <c r="AD819" s="293"/>
    </row>
    <row r="820" spans="1:30" ht="14.25" customHeight="1" x14ac:dyDescent="0.3">
      <c r="A820" s="293"/>
      <c r="B820" s="293"/>
      <c r="C820" s="293"/>
      <c r="D820" s="293"/>
      <c r="E820" s="293"/>
      <c r="F820" s="293"/>
      <c r="G820" s="293"/>
      <c r="H820" s="293"/>
      <c r="I820" s="293"/>
      <c r="J820" s="293"/>
      <c r="K820" s="293"/>
      <c r="L820" s="293"/>
      <c r="M820" s="293"/>
      <c r="N820" s="293"/>
      <c r="O820" s="293"/>
      <c r="P820" s="293"/>
      <c r="Q820" s="293"/>
      <c r="R820" s="293"/>
      <c r="S820" s="293"/>
      <c r="T820" s="293"/>
      <c r="U820" s="293"/>
      <c r="V820" s="293"/>
      <c r="W820" s="293"/>
      <c r="X820" s="293"/>
      <c r="Y820" s="293"/>
      <c r="Z820" s="293"/>
      <c r="AA820" s="293"/>
      <c r="AB820" s="293"/>
      <c r="AC820" s="293"/>
      <c r="AD820" s="293"/>
    </row>
    <row r="821" spans="1:30" ht="14.25" customHeight="1" x14ac:dyDescent="0.3">
      <c r="A821" s="293"/>
      <c r="B821" s="293"/>
      <c r="C821" s="293"/>
      <c r="D821" s="293"/>
      <c r="E821" s="293"/>
      <c r="F821" s="293"/>
      <c r="G821" s="293"/>
      <c r="H821" s="293"/>
      <c r="I821" s="293"/>
      <c r="J821" s="293"/>
      <c r="K821" s="293"/>
      <c r="L821" s="293"/>
      <c r="M821" s="293"/>
      <c r="N821" s="293"/>
      <c r="O821" s="293"/>
      <c r="P821" s="293"/>
      <c r="Q821" s="293"/>
      <c r="R821" s="293"/>
      <c r="S821" s="293"/>
      <c r="T821" s="293"/>
      <c r="U821" s="293"/>
      <c r="V821" s="293"/>
      <c r="W821" s="293"/>
      <c r="X821" s="293"/>
      <c r="Y821" s="293"/>
      <c r="Z821" s="293"/>
      <c r="AA821" s="293"/>
      <c r="AB821" s="293"/>
      <c r="AC821" s="293"/>
      <c r="AD821" s="293"/>
    </row>
    <row r="822" spans="1:30" ht="14.25" customHeight="1" x14ac:dyDescent="0.3">
      <c r="A822" s="293"/>
      <c r="B822" s="293"/>
      <c r="C822" s="293"/>
      <c r="D822" s="293"/>
      <c r="E822" s="293"/>
      <c r="F822" s="293"/>
      <c r="G822" s="293"/>
      <c r="H822" s="293"/>
      <c r="I822" s="293"/>
      <c r="J822" s="293"/>
      <c r="K822" s="293"/>
      <c r="L822" s="293"/>
      <c r="M822" s="293"/>
      <c r="N822" s="293"/>
      <c r="O822" s="293"/>
      <c r="P822" s="293"/>
      <c r="Q822" s="293"/>
      <c r="R822" s="293"/>
      <c r="S822" s="293"/>
      <c r="T822" s="293"/>
      <c r="U822" s="293"/>
      <c r="V822" s="293"/>
      <c r="W822" s="293"/>
      <c r="X822" s="293"/>
      <c r="Y822" s="293"/>
      <c r="Z822" s="293"/>
      <c r="AA822" s="293"/>
      <c r="AB822" s="293"/>
      <c r="AC822" s="293"/>
      <c r="AD822" s="293"/>
    </row>
    <row r="823" spans="1:30" ht="14.25" customHeight="1" x14ac:dyDescent="0.3">
      <c r="A823" s="293"/>
      <c r="B823" s="293"/>
      <c r="C823" s="293"/>
      <c r="D823" s="293"/>
      <c r="E823" s="293"/>
      <c r="F823" s="293"/>
      <c r="G823" s="293"/>
      <c r="H823" s="293"/>
      <c r="I823" s="293"/>
      <c r="J823" s="293"/>
      <c r="K823" s="293"/>
      <c r="L823" s="293"/>
      <c r="M823" s="293"/>
      <c r="N823" s="293"/>
      <c r="O823" s="293"/>
      <c r="P823" s="293"/>
      <c r="Q823" s="293"/>
      <c r="R823" s="293"/>
      <c r="S823" s="293"/>
      <c r="T823" s="293"/>
      <c r="U823" s="293"/>
      <c r="V823" s="293"/>
      <c r="W823" s="293"/>
      <c r="X823" s="293"/>
      <c r="Y823" s="293"/>
      <c r="Z823" s="293"/>
      <c r="AA823" s="293"/>
      <c r="AB823" s="293"/>
      <c r="AC823" s="293"/>
      <c r="AD823" s="293"/>
    </row>
    <row r="824" spans="1:30" ht="14.25" customHeight="1" x14ac:dyDescent="0.3">
      <c r="A824" s="293"/>
      <c r="B824" s="293"/>
      <c r="C824" s="293"/>
      <c r="D824" s="293"/>
      <c r="E824" s="293"/>
      <c r="F824" s="293"/>
      <c r="G824" s="293"/>
      <c r="H824" s="293"/>
      <c r="I824" s="293"/>
      <c r="J824" s="293"/>
      <c r="K824" s="293"/>
      <c r="L824" s="293"/>
      <c r="M824" s="293"/>
      <c r="N824" s="293"/>
      <c r="O824" s="293"/>
      <c r="P824" s="293"/>
      <c r="Q824" s="293"/>
      <c r="R824" s="293"/>
      <c r="S824" s="293"/>
      <c r="T824" s="293"/>
      <c r="U824" s="293"/>
      <c r="V824" s="293"/>
      <c r="W824" s="293"/>
      <c r="X824" s="293"/>
      <c r="Y824" s="293"/>
      <c r="Z824" s="293"/>
      <c r="AA824" s="293"/>
      <c r="AB824" s="293"/>
      <c r="AC824" s="293"/>
      <c r="AD824" s="293"/>
    </row>
    <row r="825" spans="1:30" ht="14.25" customHeight="1" x14ac:dyDescent="0.3">
      <c r="A825" s="293"/>
      <c r="B825" s="293"/>
      <c r="C825" s="293"/>
      <c r="D825" s="293"/>
      <c r="E825" s="293"/>
      <c r="F825" s="293"/>
      <c r="G825" s="293"/>
      <c r="H825" s="293"/>
      <c r="I825" s="293"/>
      <c r="J825" s="293"/>
      <c r="K825" s="293"/>
      <c r="L825" s="293"/>
      <c r="M825" s="293"/>
      <c r="N825" s="293"/>
      <c r="O825" s="293"/>
      <c r="P825" s="293"/>
      <c r="Q825" s="293"/>
      <c r="R825" s="293"/>
      <c r="S825" s="293"/>
      <c r="T825" s="293"/>
      <c r="U825" s="293"/>
      <c r="V825" s="293"/>
      <c r="W825" s="293"/>
      <c r="X825" s="293"/>
      <c r="Y825" s="293"/>
      <c r="Z825" s="293"/>
      <c r="AA825" s="293"/>
      <c r="AB825" s="293"/>
      <c r="AC825" s="293"/>
      <c r="AD825" s="293"/>
    </row>
    <row r="826" spans="1:30" ht="14.25" customHeight="1" x14ac:dyDescent="0.3">
      <c r="A826" s="293"/>
      <c r="B826" s="293"/>
      <c r="C826" s="293"/>
      <c r="D826" s="293"/>
      <c r="E826" s="293"/>
      <c r="F826" s="293"/>
      <c r="G826" s="293"/>
      <c r="H826" s="293"/>
      <c r="I826" s="293"/>
      <c r="J826" s="293"/>
      <c r="K826" s="293"/>
      <c r="L826" s="293"/>
      <c r="M826" s="293"/>
      <c r="N826" s="293"/>
      <c r="O826" s="293"/>
      <c r="P826" s="293"/>
      <c r="Q826" s="293"/>
      <c r="R826" s="293"/>
      <c r="S826" s="293"/>
      <c r="T826" s="293"/>
      <c r="U826" s="293"/>
      <c r="V826" s="293"/>
      <c r="W826" s="293"/>
      <c r="X826" s="293"/>
      <c r="Y826" s="293"/>
      <c r="Z826" s="293"/>
      <c r="AA826" s="293"/>
      <c r="AB826" s="293"/>
      <c r="AC826" s="293"/>
      <c r="AD826" s="293"/>
    </row>
    <row r="827" spans="1:30" ht="14.25" customHeight="1" x14ac:dyDescent="0.3">
      <c r="A827" s="293"/>
      <c r="B827" s="293"/>
      <c r="C827" s="293"/>
      <c r="D827" s="293"/>
      <c r="E827" s="293"/>
      <c r="F827" s="293"/>
      <c r="G827" s="293"/>
      <c r="H827" s="293"/>
      <c r="I827" s="293"/>
      <c r="J827" s="293"/>
      <c r="K827" s="293"/>
      <c r="L827" s="293"/>
      <c r="M827" s="293"/>
      <c r="N827" s="293"/>
      <c r="O827" s="293"/>
      <c r="P827" s="293"/>
      <c r="Q827" s="293"/>
      <c r="R827" s="293"/>
      <c r="S827" s="293"/>
      <c r="T827" s="293"/>
      <c r="U827" s="293"/>
      <c r="V827" s="293"/>
      <c r="W827" s="293"/>
      <c r="X827" s="293"/>
      <c r="Y827" s="293"/>
      <c r="Z827" s="293"/>
      <c r="AA827" s="293"/>
      <c r="AB827" s="293"/>
      <c r="AC827" s="293"/>
      <c r="AD827" s="293"/>
    </row>
    <row r="828" spans="1:30" ht="14.25" customHeight="1" x14ac:dyDescent="0.3">
      <c r="A828" s="293"/>
      <c r="B828" s="293"/>
      <c r="C828" s="293"/>
      <c r="D828" s="293"/>
      <c r="E828" s="293"/>
      <c r="F828" s="293"/>
      <c r="G828" s="293"/>
      <c r="H828" s="293"/>
      <c r="I828" s="293"/>
      <c r="J828" s="293"/>
      <c r="K828" s="293"/>
      <c r="L828" s="293"/>
      <c r="M828" s="293"/>
      <c r="N828" s="293"/>
      <c r="O828" s="293"/>
      <c r="P828" s="293"/>
      <c r="Q828" s="293"/>
      <c r="R828" s="293"/>
      <c r="S828" s="293"/>
      <c r="T828" s="293"/>
      <c r="U828" s="293"/>
      <c r="V828" s="293"/>
      <c r="W828" s="293"/>
      <c r="X828" s="293"/>
      <c r="Y828" s="293"/>
      <c r="Z828" s="293"/>
      <c r="AA828" s="293"/>
      <c r="AB828" s="293"/>
      <c r="AC828" s="293"/>
      <c r="AD828" s="293"/>
    </row>
    <row r="829" spans="1:30" ht="14.25" customHeight="1" x14ac:dyDescent="0.3">
      <c r="A829" s="293"/>
      <c r="B829" s="293"/>
      <c r="C829" s="293"/>
      <c r="D829" s="293"/>
      <c r="E829" s="293"/>
      <c r="F829" s="293"/>
      <c r="G829" s="293"/>
      <c r="H829" s="293"/>
      <c r="I829" s="293"/>
      <c r="J829" s="293"/>
      <c r="K829" s="293"/>
      <c r="L829" s="293"/>
      <c r="M829" s="293"/>
      <c r="N829" s="293"/>
      <c r="O829" s="293"/>
      <c r="P829" s="293"/>
      <c r="Q829" s="293"/>
      <c r="R829" s="293"/>
      <c r="S829" s="293"/>
      <c r="T829" s="293"/>
      <c r="U829" s="293"/>
      <c r="V829" s="293"/>
      <c r="W829" s="293"/>
      <c r="X829" s="293"/>
      <c r="Y829" s="293"/>
      <c r="Z829" s="293"/>
      <c r="AA829" s="293"/>
      <c r="AB829" s="293"/>
      <c r="AC829" s="293"/>
      <c r="AD829" s="293"/>
    </row>
    <row r="830" spans="1:30" ht="14.25" customHeight="1" x14ac:dyDescent="0.3">
      <c r="A830" s="293"/>
      <c r="B830" s="293"/>
      <c r="C830" s="293"/>
      <c r="D830" s="293"/>
      <c r="E830" s="293"/>
      <c r="F830" s="293"/>
      <c r="G830" s="293"/>
      <c r="H830" s="293"/>
      <c r="I830" s="293"/>
      <c r="J830" s="293"/>
      <c r="K830" s="293"/>
      <c r="L830" s="293"/>
      <c r="M830" s="293"/>
      <c r="N830" s="293"/>
      <c r="O830" s="293"/>
      <c r="P830" s="293"/>
      <c r="Q830" s="293"/>
      <c r="R830" s="293"/>
      <c r="S830" s="293"/>
      <c r="T830" s="293"/>
      <c r="U830" s="293"/>
      <c r="V830" s="293"/>
      <c r="W830" s="293"/>
      <c r="X830" s="293"/>
      <c r="Y830" s="293"/>
      <c r="Z830" s="293"/>
      <c r="AA830" s="293"/>
      <c r="AB830" s="293"/>
      <c r="AC830" s="293"/>
      <c r="AD830" s="293"/>
    </row>
    <row r="831" spans="1:30" ht="14.25" customHeight="1" x14ac:dyDescent="0.3">
      <c r="A831" s="293"/>
      <c r="B831" s="293"/>
      <c r="C831" s="293"/>
      <c r="D831" s="293"/>
      <c r="E831" s="293"/>
      <c r="F831" s="293"/>
      <c r="G831" s="293"/>
      <c r="H831" s="293"/>
      <c r="I831" s="293"/>
      <c r="J831" s="293"/>
      <c r="K831" s="293"/>
      <c r="L831" s="293"/>
      <c r="M831" s="293"/>
      <c r="N831" s="293"/>
      <c r="O831" s="293"/>
      <c r="P831" s="293"/>
      <c r="Q831" s="293"/>
      <c r="R831" s="293"/>
      <c r="S831" s="293"/>
      <c r="T831" s="293"/>
      <c r="U831" s="293"/>
      <c r="V831" s="293"/>
      <c r="W831" s="293"/>
      <c r="X831" s="293"/>
      <c r="Y831" s="293"/>
      <c r="Z831" s="293"/>
      <c r="AA831" s="293"/>
      <c r="AB831" s="293"/>
      <c r="AC831" s="293"/>
      <c r="AD831" s="293"/>
    </row>
    <row r="832" spans="1:30" ht="14.25" customHeight="1" x14ac:dyDescent="0.3">
      <c r="A832" s="293"/>
      <c r="B832" s="293"/>
      <c r="C832" s="293"/>
      <c r="D832" s="293"/>
      <c r="E832" s="293"/>
      <c r="F832" s="293"/>
      <c r="G832" s="293"/>
      <c r="H832" s="293"/>
      <c r="I832" s="293"/>
      <c r="J832" s="293"/>
      <c r="K832" s="293"/>
      <c r="L832" s="293"/>
      <c r="M832" s="293"/>
      <c r="N832" s="293"/>
      <c r="O832" s="293"/>
      <c r="P832" s="293"/>
      <c r="Q832" s="293"/>
      <c r="R832" s="293"/>
      <c r="S832" s="293"/>
      <c r="T832" s="293"/>
      <c r="U832" s="293"/>
      <c r="V832" s="293"/>
      <c r="W832" s="293"/>
      <c r="X832" s="293"/>
      <c r="Y832" s="293"/>
      <c r="Z832" s="293"/>
      <c r="AA832" s="293"/>
      <c r="AB832" s="293"/>
      <c r="AC832" s="293"/>
      <c r="AD832" s="293"/>
    </row>
    <row r="833" spans="1:30" ht="14.25" customHeight="1" x14ac:dyDescent="0.3">
      <c r="A833" s="293"/>
      <c r="B833" s="293"/>
      <c r="C833" s="293"/>
      <c r="D833" s="293"/>
      <c r="E833" s="293"/>
      <c r="F833" s="293"/>
      <c r="G833" s="293"/>
      <c r="H833" s="293"/>
      <c r="I833" s="293"/>
      <c r="J833" s="293"/>
      <c r="K833" s="293"/>
      <c r="L833" s="293"/>
      <c r="M833" s="293"/>
      <c r="N833" s="293"/>
      <c r="O833" s="293"/>
      <c r="P833" s="293"/>
      <c r="Q833" s="293"/>
      <c r="R833" s="293"/>
      <c r="S833" s="293"/>
      <c r="T833" s="293"/>
      <c r="U833" s="293"/>
      <c r="V833" s="293"/>
      <c r="W833" s="293"/>
      <c r="X833" s="293"/>
      <c r="Y833" s="293"/>
      <c r="Z833" s="293"/>
      <c r="AA833" s="293"/>
      <c r="AB833" s="293"/>
      <c r="AC833" s="293"/>
      <c r="AD833" s="293"/>
    </row>
    <row r="834" spans="1:30" ht="14.25" customHeight="1" x14ac:dyDescent="0.3">
      <c r="A834" s="293"/>
      <c r="B834" s="293"/>
      <c r="C834" s="293"/>
      <c r="D834" s="293"/>
      <c r="E834" s="293"/>
      <c r="F834" s="293"/>
      <c r="G834" s="293"/>
      <c r="H834" s="293"/>
      <c r="I834" s="293"/>
      <c r="J834" s="293"/>
      <c r="K834" s="293"/>
      <c r="L834" s="293"/>
      <c r="M834" s="293"/>
      <c r="N834" s="293"/>
      <c r="O834" s="293"/>
      <c r="P834" s="293"/>
      <c r="Q834" s="293"/>
      <c r="R834" s="293"/>
      <c r="S834" s="293"/>
      <c r="T834" s="293"/>
      <c r="U834" s="293"/>
      <c r="V834" s="293"/>
      <c r="W834" s="293"/>
      <c r="X834" s="293"/>
      <c r="Y834" s="293"/>
      <c r="Z834" s="293"/>
      <c r="AA834" s="293"/>
      <c r="AB834" s="293"/>
      <c r="AC834" s="293"/>
      <c r="AD834" s="293"/>
    </row>
    <row r="835" spans="1:30" ht="14.25" customHeight="1" x14ac:dyDescent="0.3">
      <c r="A835" s="293"/>
      <c r="B835" s="293"/>
      <c r="C835" s="293"/>
      <c r="D835" s="293"/>
      <c r="E835" s="293"/>
      <c r="F835" s="293"/>
      <c r="G835" s="293"/>
      <c r="H835" s="293"/>
      <c r="I835" s="293"/>
      <c r="J835" s="293"/>
      <c r="K835" s="293"/>
      <c r="L835" s="293"/>
      <c r="M835" s="293"/>
      <c r="N835" s="293"/>
      <c r="O835" s="293"/>
      <c r="P835" s="293"/>
      <c r="Q835" s="293"/>
      <c r="R835" s="293"/>
      <c r="S835" s="293"/>
      <c r="T835" s="293"/>
      <c r="U835" s="293"/>
      <c r="V835" s="293"/>
      <c r="W835" s="293"/>
      <c r="X835" s="293"/>
      <c r="Y835" s="293"/>
      <c r="Z835" s="293"/>
      <c r="AA835" s="293"/>
      <c r="AB835" s="293"/>
      <c r="AC835" s="293"/>
      <c r="AD835" s="293"/>
    </row>
    <row r="836" spans="1:30" ht="14.25" customHeight="1" x14ac:dyDescent="0.3">
      <c r="A836" s="293"/>
      <c r="B836" s="293"/>
      <c r="C836" s="293"/>
      <c r="D836" s="293"/>
      <c r="E836" s="293"/>
      <c r="F836" s="293"/>
      <c r="G836" s="293"/>
      <c r="H836" s="293"/>
      <c r="I836" s="293"/>
      <c r="J836" s="293"/>
      <c r="K836" s="293"/>
      <c r="L836" s="293"/>
      <c r="M836" s="293"/>
      <c r="N836" s="293"/>
      <c r="O836" s="293"/>
      <c r="P836" s="293"/>
      <c r="Q836" s="293"/>
      <c r="R836" s="293"/>
      <c r="S836" s="293"/>
      <c r="T836" s="293"/>
      <c r="U836" s="293"/>
      <c r="V836" s="293"/>
      <c r="W836" s="293"/>
      <c r="X836" s="293"/>
      <c r="Y836" s="293"/>
      <c r="Z836" s="293"/>
      <c r="AA836" s="293"/>
      <c r="AB836" s="293"/>
      <c r="AC836" s="293"/>
      <c r="AD836" s="293"/>
    </row>
    <row r="837" spans="1:30" ht="14.25" customHeight="1" x14ac:dyDescent="0.3">
      <c r="A837" s="293"/>
      <c r="B837" s="293"/>
      <c r="C837" s="293"/>
      <c r="D837" s="293"/>
      <c r="E837" s="293"/>
      <c r="F837" s="293"/>
      <c r="G837" s="293"/>
      <c r="H837" s="293"/>
      <c r="I837" s="293"/>
      <c r="J837" s="293"/>
      <c r="K837" s="293"/>
      <c r="L837" s="293"/>
      <c r="M837" s="293"/>
      <c r="N837" s="293"/>
      <c r="O837" s="293"/>
      <c r="P837" s="293"/>
      <c r="Q837" s="293"/>
      <c r="R837" s="293"/>
      <c r="S837" s="293"/>
      <c r="T837" s="293"/>
      <c r="U837" s="293"/>
      <c r="V837" s="293"/>
      <c r="W837" s="293"/>
      <c r="X837" s="293"/>
      <c r="Y837" s="293"/>
      <c r="Z837" s="293"/>
      <c r="AA837" s="293"/>
      <c r="AB837" s="293"/>
      <c r="AC837" s="293"/>
      <c r="AD837" s="293"/>
    </row>
    <row r="838" spans="1:30" ht="14.25" customHeight="1" x14ac:dyDescent="0.3">
      <c r="A838" s="293"/>
      <c r="B838" s="293"/>
      <c r="C838" s="293"/>
      <c r="D838" s="293"/>
      <c r="E838" s="293"/>
      <c r="F838" s="293"/>
      <c r="G838" s="293"/>
      <c r="H838" s="293"/>
      <c r="I838" s="293"/>
      <c r="J838" s="293"/>
      <c r="K838" s="293"/>
      <c r="L838" s="293"/>
      <c r="M838" s="293"/>
      <c r="N838" s="293"/>
      <c r="O838" s="293"/>
      <c r="P838" s="293"/>
      <c r="Q838" s="293"/>
      <c r="R838" s="293"/>
      <c r="S838" s="293"/>
      <c r="T838" s="293"/>
      <c r="U838" s="293"/>
      <c r="V838" s="293"/>
      <c r="W838" s="293"/>
      <c r="X838" s="293"/>
      <c r="Y838" s="293"/>
      <c r="Z838" s="293"/>
      <c r="AA838" s="293"/>
      <c r="AB838" s="293"/>
      <c r="AC838" s="293"/>
      <c r="AD838" s="293"/>
    </row>
    <row r="839" spans="1:30" ht="14.25" customHeight="1" x14ac:dyDescent="0.3">
      <c r="A839" s="293"/>
      <c r="B839" s="293"/>
      <c r="C839" s="293"/>
      <c r="D839" s="293"/>
      <c r="E839" s="293"/>
      <c r="F839" s="293"/>
      <c r="G839" s="293"/>
      <c r="H839" s="293"/>
      <c r="I839" s="293"/>
      <c r="J839" s="293"/>
      <c r="K839" s="293"/>
      <c r="L839" s="293"/>
      <c r="M839" s="293"/>
      <c r="N839" s="293"/>
      <c r="O839" s="293"/>
      <c r="P839" s="293"/>
      <c r="Q839" s="293"/>
      <c r="R839" s="293"/>
      <c r="S839" s="293"/>
      <c r="T839" s="293"/>
      <c r="U839" s="293"/>
      <c r="V839" s="293"/>
      <c r="W839" s="293"/>
      <c r="X839" s="293"/>
      <c r="Y839" s="293"/>
      <c r="Z839" s="293"/>
      <c r="AA839" s="293"/>
      <c r="AB839" s="293"/>
      <c r="AC839" s="293"/>
      <c r="AD839" s="293"/>
    </row>
    <row r="840" spans="1:30" ht="14.25" customHeight="1" x14ac:dyDescent="0.3">
      <c r="A840" s="293"/>
      <c r="B840" s="293"/>
      <c r="C840" s="293"/>
      <c r="D840" s="293"/>
      <c r="E840" s="293"/>
      <c r="F840" s="293"/>
      <c r="G840" s="293"/>
      <c r="H840" s="293"/>
      <c r="I840" s="293"/>
      <c r="J840" s="293"/>
      <c r="K840" s="293"/>
      <c r="L840" s="293"/>
      <c r="M840" s="293"/>
      <c r="N840" s="293"/>
      <c r="O840" s="293"/>
      <c r="P840" s="293"/>
      <c r="Q840" s="293"/>
      <c r="R840" s="293"/>
      <c r="S840" s="293"/>
      <c r="T840" s="293"/>
      <c r="U840" s="293"/>
      <c r="V840" s="293"/>
      <c r="W840" s="293"/>
      <c r="X840" s="293"/>
      <c r="Y840" s="293"/>
      <c r="Z840" s="293"/>
      <c r="AA840" s="293"/>
      <c r="AB840" s="293"/>
      <c r="AC840" s="293"/>
      <c r="AD840" s="293"/>
    </row>
    <row r="841" spans="1:30" ht="14.25" customHeight="1" x14ac:dyDescent="0.3">
      <c r="A841" s="293"/>
      <c r="B841" s="293"/>
      <c r="C841" s="293"/>
      <c r="D841" s="293"/>
      <c r="E841" s="293"/>
      <c r="F841" s="293"/>
      <c r="G841" s="293"/>
      <c r="H841" s="293"/>
      <c r="I841" s="293"/>
      <c r="J841" s="293"/>
      <c r="K841" s="293"/>
      <c r="L841" s="293"/>
      <c r="M841" s="293"/>
      <c r="N841" s="293"/>
      <c r="O841" s="293"/>
      <c r="P841" s="293"/>
      <c r="Q841" s="293"/>
      <c r="R841" s="293"/>
      <c r="S841" s="293"/>
      <c r="T841" s="293"/>
      <c r="U841" s="293"/>
      <c r="V841" s="293"/>
      <c r="W841" s="293"/>
      <c r="X841" s="293"/>
      <c r="Y841" s="293"/>
      <c r="Z841" s="293"/>
      <c r="AA841" s="293"/>
      <c r="AB841" s="293"/>
      <c r="AC841" s="293"/>
      <c r="AD841" s="293"/>
    </row>
    <row r="842" spans="1:30" ht="14.25" customHeight="1" x14ac:dyDescent="0.3">
      <c r="A842" s="293"/>
      <c r="B842" s="293"/>
      <c r="C842" s="293"/>
      <c r="D842" s="293"/>
      <c r="E842" s="293"/>
      <c r="F842" s="293"/>
      <c r="G842" s="293"/>
      <c r="H842" s="293"/>
      <c r="I842" s="293"/>
      <c r="J842" s="293"/>
      <c r="K842" s="293"/>
      <c r="L842" s="293"/>
      <c r="M842" s="293"/>
      <c r="N842" s="293"/>
      <c r="O842" s="293"/>
      <c r="P842" s="293"/>
      <c r="Q842" s="293"/>
      <c r="R842" s="293"/>
      <c r="S842" s="293"/>
      <c r="T842" s="293"/>
      <c r="U842" s="293"/>
      <c r="V842" s="293"/>
      <c r="W842" s="293"/>
      <c r="X842" s="293"/>
      <c r="Y842" s="293"/>
      <c r="Z842" s="293"/>
      <c r="AA842" s="293"/>
      <c r="AB842" s="293"/>
      <c r="AC842" s="293"/>
      <c r="AD842" s="293"/>
    </row>
    <row r="843" spans="1:30" ht="14.25" customHeight="1" x14ac:dyDescent="0.3">
      <c r="A843" s="293"/>
      <c r="B843" s="293"/>
      <c r="C843" s="293"/>
      <c r="D843" s="293"/>
      <c r="E843" s="293"/>
      <c r="F843" s="293"/>
      <c r="G843" s="293"/>
      <c r="H843" s="293"/>
      <c r="I843" s="293"/>
      <c r="J843" s="293"/>
      <c r="K843" s="293"/>
      <c r="L843" s="293"/>
      <c r="M843" s="293"/>
      <c r="N843" s="293"/>
      <c r="O843" s="293"/>
      <c r="P843" s="293"/>
      <c r="Q843" s="293"/>
      <c r="R843" s="293"/>
      <c r="S843" s="293"/>
      <c r="T843" s="293"/>
      <c r="U843" s="293"/>
      <c r="V843" s="293"/>
      <c r="W843" s="293"/>
      <c r="X843" s="293"/>
      <c r="Y843" s="293"/>
      <c r="Z843" s="293"/>
      <c r="AA843" s="293"/>
      <c r="AB843" s="293"/>
      <c r="AC843" s="293"/>
      <c r="AD843" s="293"/>
    </row>
    <row r="844" spans="1:30" ht="14.25" customHeight="1" x14ac:dyDescent="0.3">
      <c r="A844" s="293"/>
      <c r="B844" s="293"/>
      <c r="C844" s="293"/>
      <c r="D844" s="293"/>
      <c r="E844" s="293"/>
      <c r="F844" s="293"/>
      <c r="G844" s="293"/>
      <c r="H844" s="293"/>
      <c r="I844" s="293"/>
      <c r="J844" s="293"/>
      <c r="K844" s="293"/>
      <c r="L844" s="293"/>
      <c r="M844" s="293"/>
      <c r="N844" s="293"/>
      <c r="O844" s="293"/>
      <c r="P844" s="293"/>
      <c r="Q844" s="293"/>
      <c r="R844" s="293"/>
      <c r="S844" s="293"/>
      <c r="T844" s="293"/>
      <c r="U844" s="293"/>
      <c r="V844" s="293"/>
      <c r="W844" s="293"/>
      <c r="X844" s="293"/>
      <c r="Y844" s="293"/>
      <c r="Z844" s="293"/>
      <c r="AA844" s="293"/>
      <c r="AB844" s="293"/>
      <c r="AC844" s="293"/>
      <c r="AD844" s="293"/>
    </row>
    <row r="845" spans="1:30" ht="14.25" customHeight="1" x14ac:dyDescent="0.3">
      <c r="A845" s="293"/>
      <c r="B845" s="293"/>
      <c r="C845" s="293"/>
      <c r="D845" s="293"/>
      <c r="E845" s="293"/>
      <c r="F845" s="293"/>
      <c r="G845" s="293"/>
      <c r="H845" s="293"/>
      <c r="I845" s="293"/>
      <c r="J845" s="293"/>
      <c r="K845" s="293"/>
      <c r="L845" s="293"/>
      <c r="M845" s="293"/>
      <c r="N845" s="293"/>
      <c r="O845" s="293"/>
      <c r="P845" s="293"/>
      <c r="Q845" s="293"/>
      <c r="R845" s="293"/>
      <c r="S845" s="293"/>
      <c r="T845" s="293"/>
      <c r="U845" s="293"/>
      <c r="V845" s="293"/>
      <c r="W845" s="293"/>
      <c r="X845" s="293"/>
      <c r="Y845" s="293"/>
      <c r="Z845" s="293"/>
      <c r="AA845" s="293"/>
      <c r="AB845" s="293"/>
      <c r="AC845" s="293"/>
      <c r="AD845" s="293"/>
    </row>
    <row r="846" spans="1:30" ht="14.25" customHeight="1" x14ac:dyDescent="0.3">
      <c r="A846" s="293"/>
      <c r="B846" s="293"/>
      <c r="C846" s="293"/>
      <c r="D846" s="293"/>
      <c r="E846" s="293"/>
      <c r="F846" s="293"/>
      <c r="G846" s="293"/>
      <c r="H846" s="293"/>
      <c r="I846" s="293"/>
      <c r="J846" s="293"/>
      <c r="K846" s="293"/>
      <c r="L846" s="293"/>
      <c r="M846" s="293"/>
      <c r="N846" s="293"/>
      <c r="O846" s="293"/>
      <c r="P846" s="293"/>
      <c r="Q846" s="293"/>
      <c r="R846" s="293"/>
      <c r="S846" s="293"/>
      <c r="T846" s="293"/>
      <c r="U846" s="293"/>
      <c r="V846" s="293"/>
      <c r="W846" s="293"/>
      <c r="X846" s="293"/>
      <c r="Y846" s="293"/>
      <c r="Z846" s="293"/>
      <c r="AA846" s="293"/>
      <c r="AB846" s="293"/>
      <c r="AC846" s="293"/>
      <c r="AD846" s="293"/>
    </row>
    <row r="847" spans="1:30" ht="14.25" customHeight="1" x14ac:dyDescent="0.3">
      <c r="A847" s="293"/>
      <c r="B847" s="293"/>
      <c r="C847" s="293"/>
      <c r="D847" s="293"/>
      <c r="E847" s="293"/>
      <c r="F847" s="293"/>
      <c r="G847" s="293"/>
      <c r="H847" s="293"/>
      <c r="I847" s="293"/>
      <c r="J847" s="293"/>
      <c r="K847" s="293"/>
      <c r="L847" s="293"/>
      <c r="M847" s="293"/>
      <c r="N847" s="293"/>
      <c r="O847" s="293"/>
      <c r="P847" s="293"/>
      <c r="Q847" s="293"/>
      <c r="R847" s="293"/>
      <c r="S847" s="293"/>
      <c r="T847" s="293"/>
      <c r="U847" s="293"/>
      <c r="V847" s="293"/>
      <c r="W847" s="293"/>
      <c r="X847" s="293"/>
      <c r="Y847" s="293"/>
      <c r="Z847" s="293"/>
      <c r="AA847" s="293"/>
      <c r="AB847" s="293"/>
      <c r="AC847" s="293"/>
      <c r="AD847" s="293"/>
    </row>
    <row r="848" spans="1:30" ht="14.25" customHeight="1" x14ac:dyDescent="0.3">
      <c r="A848" s="293"/>
      <c r="B848" s="293"/>
      <c r="C848" s="293"/>
      <c r="D848" s="293"/>
      <c r="E848" s="293"/>
      <c r="F848" s="293"/>
      <c r="G848" s="293"/>
      <c r="H848" s="293"/>
      <c r="I848" s="293"/>
      <c r="J848" s="293"/>
      <c r="K848" s="293"/>
      <c r="L848" s="293"/>
      <c r="M848" s="293"/>
      <c r="N848" s="293"/>
      <c r="O848" s="293"/>
      <c r="P848" s="293"/>
      <c r="Q848" s="293"/>
      <c r="R848" s="293"/>
      <c r="S848" s="293"/>
      <c r="T848" s="293"/>
      <c r="U848" s="293"/>
      <c r="V848" s="293"/>
      <c r="W848" s="293"/>
      <c r="X848" s="293"/>
      <c r="Y848" s="293"/>
      <c r="Z848" s="293"/>
      <c r="AA848" s="293"/>
      <c r="AB848" s="293"/>
      <c r="AC848" s="293"/>
      <c r="AD848" s="293"/>
    </row>
    <row r="849" spans="1:30" ht="14.25" customHeight="1" x14ac:dyDescent="0.3">
      <c r="A849" s="293"/>
      <c r="B849" s="293"/>
      <c r="C849" s="293"/>
      <c r="D849" s="293"/>
      <c r="E849" s="293"/>
      <c r="F849" s="293"/>
      <c r="G849" s="293"/>
      <c r="H849" s="293"/>
      <c r="I849" s="293"/>
      <c r="J849" s="293"/>
      <c r="K849" s="293"/>
      <c r="L849" s="293"/>
      <c r="M849" s="293"/>
      <c r="N849" s="293"/>
      <c r="O849" s="293"/>
      <c r="P849" s="293"/>
      <c r="Q849" s="293"/>
      <c r="R849" s="293"/>
      <c r="S849" s="293"/>
      <c r="T849" s="293"/>
      <c r="U849" s="293"/>
      <c r="V849" s="293"/>
      <c r="W849" s="293"/>
      <c r="X849" s="293"/>
      <c r="Y849" s="293"/>
      <c r="Z849" s="293"/>
      <c r="AA849" s="293"/>
      <c r="AB849" s="293"/>
      <c r="AC849" s="293"/>
      <c r="AD849" s="293"/>
    </row>
    <row r="850" spans="1:30" ht="14.25" customHeight="1" x14ac:dyDescent="0.3">
      <c r="A850" s="293"/>
      <c r="B850" s="293"/>
      <c r="C850" s="293"/>
      <c r="D850" s="293"/>
      <c r="E850" s="293"/>
      <c r="F850" s="293"/>
      <c r="G850" s="293"/>
      <c r="H850" s="293"/>
      <c r="I850" s="293"/>
      <c r="J850" s="293"/>
      <c r="K850" s="293"/>
      <c r="L850" s="293"/>
      <c r="M850" s="293"/>
      <c r="N850" s="293"/>
      <c r="O850" s="293"/>
      <c r="P850" s="293"/>
      <c r="Q850" s="293"/>
      <c r="R850" s="293"/>
      <c r="S850" s="293"/>
      <c r="T850" s="293"/>
      <c r="U850" s="293"/>
      <c r="V850" s="293"/>
      <c r="W850" s="293"/>
      <c r="X850" s="293"/>
      <c r="Y850" s="293"/>
      <c r="Z850" s="293"/>
      <c r="AA850" s="293"/>
      <c r="AB850" s="293"/>
      <c r="AC850" s="293"/>
      <c r="AD850" s="293"/>
    </row>
    <row r="851" spans="1:30" ht="14.25" customHeight="1" x14ac:dyDescent="0.3">
      <c r="A851" s="293"/>
      <c r="B851" s="293"/>
      <c r="C851" s="293"/>
      <c r="D851" s="293"/>
      <c r="E851" s="293"/>
      <c r="F851" s="293"/>
      <c r="G851" s="293"/>
      <c r="H851" s="293"/>
      <c r="I851" s="293"/>
      <c r="J851" s="293"/>
      <c r="K851" s="293"/>
      <c r="L851" s="293"/>
      <c r="M851" s="293"/>
      <c r="N851" s="293"/>
      <c r="O851" s="293"/>
      <c r="P851" s="293"/>
      <c r="Q851" s="293"/>
      <c r="R851" s="293"/>
      <c r="S851" s="293"/>
      <c r="T851" s="293"/>
      <c r="U851" s="293"/>
      <c r="V851" s="293"/>
      <c r="W851" s="293"/>
      <c r="X851" s="293"/>
      <c r="Y851" s="293"/>
      <c r="Z851" s="293"/>
      <c r="AA851" s="293"/>
      <c r="AB851" s="293"/>
      <c r="AC851" s="293"/>
      <c r="AD851" s="293"/>
    </row>
    <row r="852" spans="1:30" ht="14.25" customHeight="1" x14ac:dyDescent="0.3">
      <c r="A852" s="293"/>
      <c r="B852" s="293"/>
      <c r="C852" s="293"/>
      <c r="D852" s="293"/>
      <c r="E852" s="293"/>
      <c r="F852" s="293"/>
      <c r="G852" s="293"/>
      <c r="H852" s="293"/>
      <c r="I852" s="293"/>
      <c r="J852" s="293"/>
      <c r="K852" s="293"/>
      <c r="L852" s="293"/>
      <c r="M852" s="293"/>
      <c r="N852" s="293"/>
      <c r="O852" s="293"/>
      <c r="P852" s="293"/>
      <c r="Q852" s="293"/>
      <c r="R852" s="293"/>
      <c r="S852" s="293"/>
      <c r="T852" s="293"/>
      <c r="U852" s="293"/>
      <c r="V852" s="293"/>
      <c r="W852" s="293"/>
      <c r="X852" s="293"/>
      <c r="Y852" s="293"/>
      <c r="Z852" s="293"/>
      <c r="AA852" s="293"/>
      <c r="AB852" s="293"/>
      <c r="AC852" s="293"/>
      <c r="AD852" s="293"/>
    </row>
    <row r="853" spans="1:30" ht="14.25" customHeight="1" x14ac:dyDescent="0.3">
      <c r="A853" s="293"/>
      <c r="B853" s="293"/>
      <c r="C853" s="293"/>
      <c r="D853" s="293"/>
      <c r="E853" s="293"/>
      <c r="F853" s="293"/>
      <c r="G853" s="293"/>
      <c r="H853" s="293"/>
      <c r="I853" s="293"/>
      <c r="J853" s="293"/>
      <c r="K853" s="293"/>
      <c r="L853" s="293"/>
      <c r="M853" s="293"/>
      <c r="N853" s="293"/>
      <c r="O853" s="293"/>
      <c r="P853" s="293"/>
      <c r="Q853" s="293"/>
      <c r="R853" s="293"/>
      <c r="S853" s="293"/>
      <c r="T853" s="293"/>
      <c r="U853" s="293"/>
      <c r="V853" s="293"/>
      <c r="W853" s="293"/>
      <c r="X853" s="293"/>
      <c r="Y853" s="293"/>
      <c r="Z853" s="293"/>
      <c r="AA853" s="293"/>
      <c r="AB853" s="293"/>
      <c r="AC853" s="293"/>
      <c r="AD853" s="293"/>
    </row>
    <row r="854" spans="1:30" ht="14.25" customHeight="1" x14ac:dyDescent="0.3">
      <c r="A854" s="293"/>
      <c r="B854" s="293"/>
      <c r="C854" s="293"/>
      <c r="D854" s="293"/>
      <c r="E854" s="293"/>
      <c r="F854" s="293"/>
      <c r="G854" s="293"/>
      <c r="H854" s="293"/>
      <c r="I854" s="293"/>
      <c r="J854" s="293"/>
      <c r="K854" s="293"/>
      <c r="L854" s="293"/>
      <c r="M854" s="293"/>
      <c r="N854" s="293"/>
      <c r="O854" s="293"/>
      <c r="P854" s="293"/>
      <c r="Q854" s="293"/>
      <c r="R854" s="293"/>
      <c r="S854" s="293"/>
      <c r="T854" s="293"/>
      <c r="U854" s="293"/>
      <c r="V854" s="293"/>
      <c r="W854" s="293"/>
      <c r="X854" s="293"/>
      <c r="Y854" s="293"/>
      <c r="Z854" s="293"/>
      <c r="AA854" s="293"/>
      <c r="AB854" s="293"/>
      <c r="AC854" s="293"/>
      <c r="AD854" s="293"/>
    </row>
    <row r="855" spans="1:30" ht="14.25" customHeight="1" x14ac:dyDescent="0.3">
      <c r="A855" s="293"/>
      <c r="B855" s="293"/>
      <c r="C855" s="293"/>
      <c r="D855" s="293"/>
      <c r="E855" s="293"/>
      <c r="F855" s="293"/>
      <c r="G855" s="293"/>
      <c r="H855" s="293"/>
      <c r="I855" s="293"/>
      <c r="J855" s="293"/>
      <c r="K855" s="293"/>
      <c r="L855" s="293"/>
      <c r="M855" s="293"/>
      <c r="N855" s="293"/>
      <c r="O855" s="293"/>
      <c r="P855" s="293"/>
      <c r="Q855" s="293"/>
      <c r="R855" s="293"/>
      <c r="S855" s="293"/>
      <c r="T855" s="293"/>
      <c r="U855" s="293"/>
      <c r="V855" s="293"/>
      <c r="W855" s="293"/>
      <c r="X855" s="293"/>
      <c r="Y855" s="293"/>
      <c r="Z855" s="293"/>
      <c r="AA855" s="293"/>
      <c r="AB855" s="293"/>
      <c r="AC855" s="293"/>
      <c r="AD855" s="293"/>
    </row>
    <row r="856" spans="1:30" ht="14.25" customHeight="1" x14ac:dyDescent="0.3">
      <c r="A856" s="293"/>
      <c r="B856" s="293"/>
      <c r="C856" s="293"/>
      <c r="D856" s="293"/>
      <c r="E856" s="293"/>
      <c r="F856" s="293"/>
      <c r="G856" s="293"/>
      <c r="H856" s="293"/>
      <c r="I856" s="293"/>
      <c r="J856" s="293"/>
      <c r="K856" s="293"/>
      <c r="L856" s="293"/>
      <c r="M856" s="293"/>
      <c r="N856" s="293"/>
      <c r="O856" s="293"/>
      <c r="P856" s="293"/>
      <c r="Q856" s="293"/>
      <c r="R856" s="293"/>
      <c r="S856" s="293"/>
      <c r="T856" s="293"/>
      <c r="U856" s="293"/>
      <c r="V856" s="293"/>
      <c r="W856" s="293"/>
      <c r="X856" s="293"/>
      <c r="Y856" s="293"/>
      <c r="Z856" s="293"/>
      <c r="AA856" s="293"/>
      <c r="AB856" s="293"/>
      <c r="AC856" s="293"/>
      <c r="AD856" s="293"/>
    </row>
    <row r="857" spans="1:30" ht="14.25" customHeight="1" x14ac:dyDescent="0.3">
      <c r="A857" s="293"/>
      <c r="B857" s="293"/>
      <c r="C857" s="293"/>
      <c r="D857" s="293"/>
      <c r="E857" s="293"/>
      <c r="F857" s="293"/>
      <c r="G857" s="293"/>
      <c r="H857" s="293"/>
      <c r="I857" s="293"/>
      <c r="J857" s="293"/>
      <c r="K857" s="293"/>
      <c r="L857" s="293"/>
      <c r="M857" s="293"/>
      <c r="N857" s="293"/>
      <c r="O857" s="293"/>
      <c r="P857" s="293"/>
      <c r="Q857" s="293"/>
      <c r="R857" s="293"/>
      <c r="S857" s="293"/>
      <c r="T857" s="293"/>
      <c r="U857" s="293"/>
      <c r="V857" s="293"/>
      <c r="W857" s="293"/>
      <c r="X857" s="293"/>
      <c r="Y857" s="293"/>
      <c r="Z857" s="293"/>
      <c r="AA857" s="293"/>
      <c r="AB857" s="293"/>
      <c r="AC857" s="293"/>
      <c r="AD857" s="293"/>
    </row>
    <row r="858" spans="1:30" ht="14.25" customHeight="1" x14ac:dyDescent="0.3">
      <c r="A858" s="293"/>
      <c r="B858" s="293"/>
      <c r="C858" s="293"/>
      <c r="D858" s="293"/>
      <c r="E858" s="293"/>
      <c r="F858" s="293"/>
      <c r="G858" s="293"/>
      <c r="H858" s="293"/>
      <c r="I858" s="293"/>
      <c r="J858" s="293"/>
      <c r="K858" s="293"/>
      <c r="L858" s="293"/>
      <c r="M858" s="293"/>
      <c r="N858" s="293"/>
      <c r="O858" s="293"/>
      <c r="P858" s="293"/>
      <c r="Q858" s="293"/>
      <c r="R858" s="293"/>
      <c r="S858" s="293"/>
      <c r="T858" s="293"/>
      <c r="U858" s="293"/>
      <c r="V858" s="293"/>
      <c r="W858" s="293"/>
      <c r="X858" s="293"/>
      <c r="Y858" s="293"/>
      <c r="Z858" s="293"/>
      <c r="AA858" s="293"/>
      <c r="AB858" s="293"/>
      <c r="AC858" s="293"/>
      <c r="AD858" s="293"/>
    </row>
    <row r="859" spans="1:30" ht="14.25" customHeight="1" x14ac:dyDescent="0.3">
      <c r="A859" s="293"/>
      <c r="B859" s="293"/>
      <c r="C859" s="293"/>
      <c r="D859" s="293"/>
      <c r="E859" s="293"/>
      <c r="F859" s="293"/>
      <c r="G859" s="293"/>
      <c r="H859" s="293"/>
      <c r="I859" s="293"/>
      <c r="J859" s="293"/>
      <c r="K859" s="293"/>
      <c r="L859" s="293"/>
      <c r="M859" s="293"/>
      <c r="N859" s="293"/>
      <c r="O859" s="293"/>
      <c r="P859" s="293"/>
      <c r="Q859" s="293"/>
      <c r="R859" s="293"/>
      <c r="S859" s="293"/>
      <c r="T859" s="293"/>
      <c r="U859" s="293"/>
      <c r="V859" s="293"/>
      <c r="W859" s="293"/>
      <c r="X859" s="293"/>
      <c r="Y859" s="293"/>
      <c r="Z859" s="293"/>
      <c r="AA859" s="293"/>
      <c r="AB859" s="293"/>
      <c r="AC859" s="293"/>
      <c r="AD859" s="293"/>
    </row>
    <row r="860" spans="1:30" ht="14.25" customHeight="1" x14ac:dyDescent="0.3">
      <c r="A860" s="293"/>
      <c r="B860" s="293"/>
      <c r="C860" s="293"/>
      <c r="D860" s="293"/>
      <c r="E860" s="293"/>
      <c r="F860" s="293"/>
      <c r="G860" s="293"/>
      <c r="H860" s="293"/>
      <c r="I860" s="293"/>
      <c r="J860" s="293"/>
      <c r="K860" s="293"/>
      <c r="L860" s="293"/>
      <c r="M860" s="293"/>
      <c r="N860" s="293"/>
      <c r="O860" s="293"/>
      <c r="P860" s="293"/>
      <c r="Q860" s="293"/>
      <c r="R860" s="293"/>
      <c r="S860" s="293"/>
      <c r="T860" s="293"/>
      <c r="U860" s="293"/>
      <c r="V860" s="293"/>
      <c r="W860" s="293"/>
      <c r="X860" s="293"/>
      <c r="Y860" s="293"/>
      <c r="Z860" s="293"/>
      <c r="AA860" s="293"/>
      <c r="AB860" s="293"/>
      <c r="AC860" s="293"/>
      <c r="AD860" s="293"/>
    </row>
    <row r="861" spans="1:30" ht="14.25" customHeight="1" x14ac:dyDescent="0.3">
      <c r="A861" s="293"/>
      <c r="B861" s="293"/>
      <c r="C861" s="293"/>
      <c r="D861" s="293"/>
      <c r="E861" s="293"/>
      <c r="F861" s="293"/>
      <c r="G861" s="293"/>
      <c r="H861" s="293"/>
      <c r="I861" s="293"/>
      <c r="J861" s="293"/>
      <c r="K861" s="293"/>
      <c r="L861" s="293"/>
      <c r="M861" s="293"/>
      <c r="N861" s="293"/>
      <c r="O861" s="293"/>
      <c r="P861" s="293"/>
      <c r="Q861" s="293"/>
      <c r="R861" s="293"/>
      <c r="S861" s="293"/>
      <c r="T861" s="293"/>
      <c r="U861" s="293"/>
      <c r="V861" s="293"/>
      <c r="W861" s="293"/>
      <c r="X861" s="293"/>
      <c r="Y861" s="293"/>
      <c r="Z861" s="293"/>
      <c r="AA861" s="293"/>
      <c r="AB861" s="293"/>
      <c r="AC861" s="293"/>
      <c r="AD861" s="293"/>
    </row>
    <row r="862" spans="1:30" ht="14.25" customHeight="1" x14ac:dyDescent="0.3">
      <c r="A862" s="293"/>
      <c r="B862" s="293"/>
      <c r="C862" s="293"/>
      <c r="D862" s="293"/>
      <c r="E862" s="293"/>
      <c r="F862" s="293"/>
      <c r="G862" s="293"/>
      <c r="H862" s="293"/>
      <c r="I862" s="293"/>
      <c r="J862" s="293"/>
      <c r="K862" s="293"/>
      <c r="L862" s="293"/>
      <c r="M862" s="293"/>
      <c r="N862" s="293"/>
      <c r="O862" s="293"/>
      <c r="P862" s="293"/>
      <c r="Q862" s="293"/>
      <c r="R862" s="293"/>
      <c r="S862" s="293"/>
      <c r="T862" s="293"/>
      <c r="U862" s="293"/>
      <c r="V862" s="293"/>
      <c r="W862" s="293"/>
      <c r="X862" s="293"/>
      <c r="Y862" s="293"/>
      <c r="Z862" s="293"/>
      <c r="AA862" s="293"/>
      <c r="AB862" s="293"/>
      <c r="AC862" s="293"/>
      <c r="AD862" s="293"/>
    </row>
    <row r="863" spans="1:30" ht="14.25" customHeight="1" x14ac:dyDescent="0.3">
      <c r="A863" s="293"/>
      <c r="B863" s="293"/>
      <c r="C863" s="293"/>
      <c r="D863" s="293"/>
      <c r="E863" s="293"/>
      <c r="F863" s="293"/>
      <c r="G863" s="293"/>
      <c r="H863" s="293"/>
      <c r="I863" s="293"/>
      <c r="J863" s="293"/>
      <c r="K863" s="293"/>
      <c r="L863" s="293"/>
      <c r="M863" s="293"/>
      <c r="N863" s="293"/>
      <c r="O863" s="293"/>
      <c r="P863" s="293"/>
      <c r="Q863" s="293"/>
      <c r="R863" s="293"/>
      <c r="S863" s="293"/>
      <c r="T863" s="293"/>
      <c r="U863" s="293"/>
      <c r="V863" s="293"/>
      <c r="W863" s="293"/>
      <c r="X863" s="293"/>
      <c r="Y863" s="293"/>
      <c r="Z863" s="293"/>
      <c r="AA863" s="293"/>
      <c r="AB863" s="293"/>
      <c r="AC863" s="293"/>
      <c r="AD863" s="293"/>
    </row>
    <row r="864" spans="1:30" ht="14.25" customHeight="1" x14ac:dyDescent="0.3">
      <c r="A864" s="293"/>
      <c r="B864" s="293"/>
      <c r="C864" s="293"/>
      <c r="D864" s="293"/>
      <c r="E864" s="293"/>
      <c r="F864" s="293"/>
      <c r="G864" s="293"/>
      <c r="H864" s="293"/>
      <c r="I864" s="293"/>
      <c r="J864" s="293"/>
      <c r="K864" s="293"/>
      <c r="L864" s="293"/>
      <c r="M864" s="293"/>
      <c r="N864" s="293"/>
      <c r="O864" s="293"/>
      <c r="P864" s="293"/>
      <c r="Q864" s="293"/>
      <c r="R864" s="293"/>
      <c r="S864" s="293"/>
      <c r="T864" s="293"/>
      <c r="U864" s="293"/>
      <c r="V864" s="293"/>
      <c r="W864" s="293"/>
      <c r="X864" s="293"/>
      <c r="Y864" s="293"/>
      <c r="Z864" s="293"/>
      <c r="AA864" s="293"/>
      <c r="AB864" s="293"/>
      <c r="AC864" s="293"/>
      <c r="AD864" s="293"/>
    </row>
    <row r="865" spans="1:30" ht="14.25" customHeight="1" x14ac:dyDescent="0.3">
      <c r="A865" s="293"/>
      <c r="B865" s="293"/>
      <c r="C865" s="293"/>
      <c r="D865" s="293"/>
      <c r="E865" s="293"/>
      <c r="F865" s="293"/>
      <c r="G865" s="293"/>
      <c r="H865" s="293"/>
      <c r="I865" s="293"/>
      <c r="J865" s="293"/>
      <c r="K865" s="293"/>
      <c r="L865" s="293"/>
      <c r="M865" s="293"/>
      <c r="N865" s="293"/>
      <c r="O865" s="293"/>
      <c r="P865" s="293"/>
      <c r="Q865" s="293"/>
      <c r="R865" s="293"/>
      <c r="S865" s="293"/>
      <c r="T865" s="293"/>
      <c r="U865" s="293"/>
      <c r="V865" s="293"/>
      <c r="W865" s="293"/>
      <c r="X865" s="293"/>
      <c r="Y865" s="293"/>
      <c r="Z865" s="293"/>
      <c r="AA865" s="293"/>
      <c r="AB865" s="293"/>
      <c r="AC865" s="293"/>
      <c r="AD865" s="293"/>
    </row>
    <row r="866" spans="1:30" ht="14.25" customHeight="1" x14ac:dyDescent="0.3">
      <c r="A866" s="293"/>
      <c r="B866" s="293"/>
      <c r="C866" s="293"/>
      <c r="D866" s="293"/>
      <c r="E866" s="293"/>
      <c r="F866" s="293"/>
      <c r="G866" s="293"/>
      <c r="H866" s="293"/>
      <c r="I866" s="293"/>
      <c r="J866" s="293"/>
      <c r="K866" s="293"/>
      <c r="L866" s="293"/>
      <c r="M866" s="293"/>
      <c r="N866" s="293"/>
      <c r="O866" s="293"/>
      <c r="P866" s="293"/>
      <c r="Q866" s="293"/>
      <c r="R866" s="293"/>
      <c r="S866" s="293"/>
      <c r="T866" s="293"/>
      <c r="U866" s="293"/>
      <c r="V866" s="293"/>
      <c r="W866" s="293"/>
      <c r="X866" s="293"/>
      <c r="Y866" s="293"/>
      <c r="Z866" s="293"/>
      <c r="AA866" s="293"/>
      <c r="AB866" s="293"/>
      <c r="AC866" s="293"/>
      <c r="AD866" s="293"/>
    </row>
    <row r="867" spans="1:30" ht="14.25" customHeight="1" x14ac:dyDescent="0.3">
      <c r="A867" s="293"/>
      <c r="B867" s="293"/>
      <c r="C867" s="293"/>
      <c r="D867" s="293"/>
      <c r="E867" s="293"/>
      <c r="F867" s="293"/>
      <c r="G867" s="293"/>
      <c r="H867" s="293"/>
      <c r="I867" s="293"/>
      <c r="J867" s="293"/>
      <c r="K867" s="293"/>
      <c r="L867" s="293"/>
      <c r="M867" s="293"/>
      <c r="N867" s="293"/>
      <c r="O867" s="293"/>
      <c r="P867" s="293"/>
      <c r="Q867" s="293"/>
      <c r="R867" s="293"/>
      <c r="S867" s="293"/>
      <c r="T867" s="293"/>
      <c r="U867" s="293"/>
      <c r="V867" s="293"/>
      <c r="W867" s="293"/>
      <c r="X867" s="293"/>
      <c r="Y867" s="293"/>
      <c r="Z867" s="293"/>
      <c r="AA867" s="293"/>
      <c r="AB867" s="293"/>
      <c r="AC867" s="293"/>
      <c r="AD867" s="293"/>
    </row>
    <row r="868" spans="1:30" ht="14.25" customHeight="1" x14ac:dyDescent="0.3">
      <c r="A868" s="293"/>
      <c r="B868" s="293"/>
      <c r="C868" s="293"/>
      <c r="D868" s="293"/>
      <c r="E868" s="293"/>
      <c r="F868" s="293"/>
      <c r="G868" s="293"/>
      <c r="H868" s="293"/>
      <c r="I868" s="293"/>
      <c r="J868" s="293"/>
      <c r="K868" s="293"/>
      <c r="L868" s="293"/>
      <c r="M868" s="293"/>
      <c r="N868" s="293"/>
      <c r="O868" s="293"/>
      <c r="P868" s="293"/>
      <c r="Q868" s="293"/>
      <c r="R868" s="293"/>
      <c r="S868" s="293"/>
      <c r="T868" s="293"/>
      <c r="U868" s="293"/>
      <c r="V868" s="293"/>
      <c r="W868" s="293"/>
      <c r="X868" s="293"/>
      <c r="Y868" s="293"/>
      <c r="Z868" s="293"/>
      <c r="AA868" s="293"/>
      <c r="AB868" s="293"/>
      <c r="AC868" s="293"/>
      <c r="AD868" s="293"/>
    </row>
    <row r="869" spans="1:30" ht="14.25" customHeight="1" x14ac:dyDescent="0.3">
      <c r="A869" s="293"/>
      <c r="B869" s="293"/>
      <c r="C869" s="293"/>
      <c r="D869" s="293"/>
      <c r="E869" s="293"/>
      <c r="F869" s="293"/>
      <c r="G869" s="293"/>
      <c r="H869" s="293"/>
      <c r="I869" s="293"/>
      <c r="J869" s="293"/>
      <c r="K869" s="293"/>
      <c r="L869" s="293"/>
      <c r="M869" s="293"/>
      <c r="N869" s="293"/>
      <c r="O869" s="293"/>
      <c r="P869" s="293"/>
      <c r="Q869" s="293"/>
      <c r="R869" s="293"/>
      <c r="S869" s="293"/>
      <c r="T869" s="293"/>
      <c r="U869" s="293"/>
      <c r="V869" s="293"/>
      <c r="W869" s="293"/>
      <c r="X869" s="293"/>
      <c r="Y869" s="293"/>
      <c r="Z869" s="293"/>
      <c r="AA869" s="293"/>
      <c r="AB869" s="293"/>
      <c r="AC869" s="293"/>
      <c r="AD869" s="293"/>
    </row>
    <row r="870" spans="1:30" ht="14.25" customHeight="1" x14ac:dyDescent="0.3">
      <c r="A870" s="293"/>
      <c r="B870" s="293"/>
      <c r="C870" s="293"/>
      <c r="D870" s="293"/>
      <c r="E870" s="293"/>
      <c r="F870" s="293"/>
      <c r="G870" s="293"/>
      <c r="H870" s="293"/>
      <c r="I870" s="293"/>
      <c r="J870" s="293"/>
      <c r="K870" s="293"/>
      <c r="L870" s="293"/>
      <c r="M870" s="293"/>
      <c r="N870" s="293"/>
      <c r="O870" s="293"/>
      <c r="P870" s="293"/>
      <c r="Q870" s="293"/>
      <c r="R870" s="293"/>
      <c r="S870" s="293"/>
      <c r="T870" s="293"/>
      <c r="U870" s="293"/>
      <c r="V870" s="293"/>
      <c r="W870" s="293"/>
      <c r="X870" s="293"/>
      <c r="Y870" s="293"/>
      <c r="Z870" s="293"/>
      <c r="AA870" s="293"/>
      <c r="AB870" s="293"/>
      <c r="AC870" s="293"/>
      <c r="AD870" s="293"/>
    </row>
    <row r="871" spans="1:30" ht="14.25" customHeight="1" x14ac:dyDescent="0.3">
      <c r="A871" s="293"/>
      <c r="B871" s="293"/>
      <c r="C871" s="293"/>
      <c r="D871" s="293"/>
      <c r="E871" s="293"/>
      <c r="F871" s="293"/>
      <c r="G871" s="293"/>
      <c r="H871" s="293"/>
      <c r="I871" s="293"/>
      <c r="J871" s="293"/>
      <c r="K871" s="293"/>
      <c r="L871" s="293"/>
      <c r="M871" s="293"/>
      <c r="N871" s="293"/>
      <c r="O871" s="293"/>
      <c r="P871" s="293"/>
      <c r="Q871" s="293"/>
      <c r="R871" s="293"/>
      <c r="S871" s="293"/>
      <c r="T871" s="293"/>
      <c r="U871" s="293"/>
      <c r="V871" s="293"/>
      <c r="W871" s="293"/>
      <c r="X871" s="293"/>
      <c r="Y871" s="293"/>
      <c r="Z871" s="293"/>
      <c r="AA871" s="293"/>
      <c r="AB871" s="293"/>
      <c r="AC871" s="293"/>
      <c r="AD871" s="293"/>
    </row>
    <row r="872" spans="1:30" ht="14.25" customHeight="1" x14ac:dyDescent="0.3">
      <c r="A872" s="293"/>
      <c r="B872" s="293"/>
      <c r="C872" s="293"/>
      <c r="D872" s="293"/>
      <c r="E872" s="293"/>
      <c r="F872" s="293"/>
      <c r="G872" s="293"/>
      <c r="H872" s="293"/>
      <c r="I872" s="293"/>
      <c r="J872" s="293"/>
      <c r="K872" s="293"/>
      <c r="L872" s="293"/>
      <c r="M872" s="293"/>
      <c r="N872" s="293"/>
      <c r="O872" s="293"/>
      <c r="P872" s="293"/>
      <c r="Q872" s="293"/>
      <c r="R872" s="293"/>
      <c r="S872" s="293"/>
      <c r="T872" s="293"/>
      <c r="U872" s="293"/>
      <c r="V872" s="293"/>
      <c r="W872" s="293"/>
      <c r="X872" s="293"/>
      <c r="Y872" s="293"/>
      <c r="Z872" s="293"/>
      <c r="AA872" s="293"/>
      <c r="AB872" s="293"/>
      <c r="AC872" s="293"/>
      <c r="AD872" s="293"/>
    </row>
    <row r="873" spans="1:30" ht="14.25" customHeight="1" x14ac:dyDescent="0.3">
      <c r="A873" s="293"/>
      <c r="B873" s="293"/>
      <c r="C873" s="293"/>
      <c r="D873" s="293"/>
      <c r="E873" s="293"/>
      <c r="F873" s="293"/>
      <c r="G873" s="293"/>
      <c r="H873" s="293"/>
      <c r="I873" s="293"/>
      <c r="J873" s="293"/>
      <c r="K873" s="293"/>
      <c r="L873" s="293"/>
      <c r="M873" s="293"/>
      <c r="N873" s="293"/>
      <c r="O873" s="293"/>
      <c r="P873" s="293"/>
      <c r="Q873" s="293"/>
      <c r="R873" s="293"/>
      <c r="S873" s="293"/>
      <c r="T873" s="293"/>
      <c r="U873" s="293"/>
      <c r="V873" s="293"/>
      <c r="W873" s="293"/>
      <c r="X873" s="293"/>
      <c r="Y873" s="293"/>
      <c r="Z873" s="293"/>
      <c r="AA873" s="293"/>
      <c r="AB873" s="293"/>
      <c r="AC873" s="293"/>
      <c r="AD873" s="293"/>
    </row>
    <row r="874" spans="1:30" ht="14.25" customHeight="1" x14ac:dyDescent="0.3">
      <c r="A874" s="293"/>
      <c r="B874" s="293"/>
      <c r="C874" s="293"/>
      <c r="D874" s="293"/>
      <c r="E874" s="293"/>
      <c r="F874" s="293"/>
      <c r="G874" s="293"/>
      <c r="H874" s="293"/>
      <c r="I874" s="293"/>
      <c r="J874" s="293"/>
      <c r="K874" s="293"/>
      <c r="L874" s="293"/>
      <c r="M874" s="293"/>
      <c r="N874" s="293"/>
      <c r="O874" s="293"/>
      <c r="P874" s="293"/>
      <c r="Q874" s="293"/>
      <c r="R874" s="293"/>
      <c r="S874" s="293"/>
      <c r="T874" s="293"/>
      <c r="U874" s="293"/>
      <c r="V874" s="293"/>
      <c r="W874" s="293"/>
      <c r="X874" s="293"/>
      <c r="Y874" s="293"/>
      <c r="Z874" s="293"/>
      <c r="AA874" s="293"/>
      <c r="AB874" s="293"/>
      <c r="AC874" s="293"/>
      <c r="AD874" s="293"/>
    </row>
    <row r="875" spans="1:30" ht="14.25" customHeight="1" x14ac:dyDescent="0.3">
      <c r="A875" s="293"/>
      <c r="B875" s="293"/>
      <c r="C875" s="293"/>
      <c r="D875" s="293"/>
      <c r="E875" s="293"/>
      <c r="F875" s="293"/>
      <c r="G875" s="293"/>
      <c r="H875" s="293"/>
      <c r="I875" s="293"/>
      <c r="J875" s="293"/>
      <c r="K875" s="293"/>
      <c r="L875" s="293"/>
      <c r="M875" s="293"/>
      <c r="N875" s="293"/>
      <c r="O875" s="293"/>
      <c r="P875" s="293"/>
      <c r="Q875" s="293"/>
      <c r="R875" s="293"/>
      <c r="S875" s="293"/>
      <c r="T875" s="293"/>
      <c r="U875" s="293"/>
      <c r="V875" s="293"/>
      <c r="W875" s="293"/>
      <c r="X875" s="293"/>
      <c r="Y875" s="293"/>
      <c r="Z875" s="293"/>
      <c r="AA875" s="293"/>
      <c r="AB875" s="293"/>
      <c r="AC875" s="293"/>
      <c r="AD875" s="293"/>
    </row>
    <row r="876" spans="1:30" ht="14.25" customHeight="1" x14ac:dyDescent="0.3">
      <c r="A876" s="293"/>
      <c r="B876" s="293"/>
      <c r="C876" s="293"/>
      <c r="D876" s="293"/>
      <c r="E876" s="293"/>
      <c r="F876" s="293"/>
      <c r="G876" s="293"/>
      <c r="H876" s="293"/>
      <c r="I876" s="293"/>
      <c r="J876" s="293"/>
      <c r="K876" s="293"/>
      <c r="L876" s="293"/>
      <c r="M876" s="293"/>
      <c r="N876" s="293"/>
      <c r="O876" s="293"/>
      <c r="P876" s="293"/>
      <c r="Q876" s="293"/>
      <c r="R876" s="293"/>
      <c r="S876" s="293"/>
      <c r="T876" s="293"/>
      <c r="U876" s="293"/>
      <c r="V876" s="293"/>
      <c r="W876" s="293"/>
      <c r="X876" s="293"/>
      <c r="Y876" s="293"/>
      <c r="Z876" s="293"/>
      <c r="AA876" s="293"/>
      <c r="AB876" s="293"/>
      <c r="AC876" s="293"/>
      <c r="AD876" s="293"/>
    </row>
    <row r="877" spans="1:30" ht="14.25" customHeight="1" x14ac:dyDescent="0.3">
      <c r="A877" s="293"/>
      <c r="B877" s="293"/>
      <c r="C877" s="293"/>
      <c r="D877" s="293"/>
      <c r="E877" s="293"/>
      <c r="F877" s="293"/>
      <c r="G877" s="293"/>
      <c r="H877" s="293"/>
      <c r="I877" s="293"/>
      <c r="J877" s="293"/>
      <c r="K877" s="293"/>
      <c r="L877" s="293"/>
      <c r="M877" s="293"/>
      <c r="N877" s="293"/>
      <c r="O877" s="293"/>
      <c r="P877" s="293"/>
      <c r="Q877" s="293"/>
      <c r="R877" s="293"/>
      <c r="S877" s="293"/>
      <c r="T877" s="293"/>
      <c r="U877" s="293"/>
      <c r="V877" s="293"/>
      <c r="W877" s="293"/>
      <c r="X877" s="293"/>
      <c r="Y877" s="293"/>
      <c r="Z877" s="293"/>
      <c r="AA877" s="293"/>
      <c r="AB877" s="293"/>
      <c r="AC877" s="293"/>
      <c r="AD877" s="293"/>
    </row>
    <row r="878" spans="1:30" ht="14.25" customHeight="1" x14ac:dyDescent="0.3">
      <c r="A878" s="293"/>
      <c r="B878" s="293"/>
      <c r="C878" s="293"/>
      <c r="D878" s="293"/>
      <c r="E878" s="293"/>
      <c r="F878" s="293"/>
      <c r="G878" s="293"/>
      <c r="H878" s="293"/>
      <c r="I878" s="293"/>
      <c r="J878" s="293"/>
      <c r="K878" s="293"/>
      <c r="L878" s="293"/>
      <c r="M878" s="293"/>
      <c r="N878" s="293"/>
      <c r="O878" s="293"/>
      <c r="P878" s="293"/>
      <c r="Q878" s="293"/>
      <c r="R878" s="293"/>
      <c r="S878" s="293"/>
      <c r="T878" s="293"/>
      <c r="U878" s="293"/>
      <c r="V878" s="293"/>
      <c r="W878" s="293"/>
      <c r="X878" s="293"/>
      <c r="Y878" s="293"/>
      <c r="Z878" s="293"/>
      <c r="AA878" s="293"/>
      <c r="AB878" s="293"/>
      <c r="AC878" s="293"/>
      <c r="AD878" s="293"/>
    </row>
    <row r="879" spans="1:30" ht="14.25" customHeight="1" x14ac:dyDescent="0.3">
      <c r="A879" s="293"/>
      <c r="B879" s="293"/>
      <c r="C879" s="293"/>
      <c r="D879" s="293"/>
      <c r="E879" s="293"/>
      <c r="F879" s="293"/>
      <c r="G879" s="293"/>
      <c r="H879" s="293"/>
      <c r="I879" s="293"/>
      <c r="J879" s="293"/>
      <c r="K879" s="293"/>
      <c r="L879" s="293"/>
      <c r="M879" s="293"/>
      <c r="N879" s="293"/>
      <c r="O879" s="293"/>
      <c r="P879" s="293"/>
      <c r="Q879" s="293"/>
      <c r="R879" s="293"/>
      <c r="S879" s="293"/>
      <c r="T879" s="293"/>
      <c r="U879" s="293"/>
      <c r="V879" s="293"/>
      <c r="W879" s="293"/>
      <c r="X879" s="293"/>
      <c r="Y879" s="293"/>
      <c r="Z879" s="293"/>
      <c r="AA879" s="293"/>
      <c r="AB879" s="293"/>
      <c r="AC879" s="293"/>
      <c r="AD879" s="293"/>
    </row>
    <row r="880" spans="1:30" ht="14.25" customHeight="1" x14ac:dyDescent="0.3">
      <c r="A880" s="293"/>
      <c r="B880" s="293"/>
      <c r="C880" s="293"/>
      <c r="D880" s="293"/>
      <c r="E880" s="293"/>
      <c r="F880" s="293"/>
      <c r="G880" s="293"/>
      <c r="H880" s="293"/>
      <c r="I880" s="293"/>
      <c r="J880" s="293"/>
      <c r="K880" s="293"/>
      <c r="L880" s="293"/>
      <c r="M880" s="293"/>
      <c r="N880" s="293"/>
      <c r="O880" s="293"/>
      <c r="P880" s="293"/>
      <c r="Q880" s="293"/>
      <c r="R880" s="293"/>
      <c r="S880" s="293"/>
      <c r="T880" s="293"/>
      <c r="U880" s="293"/>
      <c r="V880" s="293"/>
      <c r="W880" s="293"/>
      <c r="X880" s="293"/>
      <c r="Y880" s="293"/>
      <c r="Z880" s="293"/>
      <c r="AA880" s="293"/>
      <c r="AB880" s="293"/>
      <c r="AC880" s="293"/>
      <c r="AD880" s="293"/>
    </row>
    <row r="881" spans="1:30" ht="14.25" customHeight="1" x14ac:dyDescent="0.3">
      <c r="A881" s="293"/>
      <c r="B881" s="293"/>
      <c r="C881" s="293"/>
      <c r="D881" s="293"/>
      <c r="E881" s="293"/>
      <c r="F881" s="293"/>
      <c r="G881" s="293"/>
      <c r="H881" s="293"/>
      <c r="I881" s="293"/>
      <c r="J881" s="293"/>
      <c r="K881" s="293"/>
      <c r="L881" s="293"/>
      <c r="M881" s="293"/>
      <c r="N881" s="293"/>
      <c r="O881" s="293"/>
      <c r="P881" s="293"/>
      <c r="Q881" s="293"/>
      <c r="R881" s="293"/>
      <c r="S881" s="293"/>
      <c r="T881" s="293"/>
      <c r="U881" s="293"/>
      <c r="V881" s="293"/>
      <c r="W881" s="293"/>
      <c r="X881" s="293"/>
      <c r="Y881" s="293"/>
      <c r="Z881" s="293"/>
      <c r="AA881" s="293"/>
      <c r="AB881" s="293"/>
      <c r="AC881" s="293"/>
      <c r="AD881" s="293"/>
    </row>
    <row r="882" spans="1:30" ht="14.25" customHeight="1" x14ac:dyDescent="0.3">
      <c r="A882" s="293"/>
      <c r="B882" s="293"/>
      <c r="C882" s="293"/>
      <c r="D882" s="293"/>
      <c r="E882" s="293"/>
      <c r="F882" s="293"/>
      <c r="G882" s="293"/>
      <c r="H882" s="293"/>
      <c r="I882" s="293"/>
      <c r="J882" s="293"/>
      <c r="K882" s="293"/>
      <c r="L882" s="293"/>
      <c r="M882" s="293"/>
      <c r="N882" s="293"/>
      <c r="O882" s="293"/>
      <c r="P882" s="293"/>
      <c r="Q882" s="293"/>
      <c r="R882" s="293"/>
      <c r="S882" s="293"/>
      <c r="T882" s="293"/>
      <c r="U882" s="293"/>
      <c r="V882" s="293"/>
      <c r="W882" s="293"/>
      <c r="X882" s="293"/>
      <c r="Y882" s="293"/>
      <c r="Z882" s="293"/>
      <c r="AA882" s="293"/>
      <c r="AB882" s="293"/>
      <c r="AC882" s="293"/>
      <c r="AD882" s="293"/>
    </row>
    <row r="883" spans="1:30" ht="14.25" customHeight="1" x14ac:dyDescent="0.3">
      <c r="A883" s="293"/>
      <c r="B883" s="293"/>
      <c r="C883" s="293"/>
      <c r="D883" s="293"/>
      <c r="E883" s="293"/>
      <c r="F883" s="293"/>
      <c r="G883" s="293"/>
      <c r="H883" s="293"/>
      <c r="I883" s="293"/>
      <c r="J883" s="293"/>
      <c r="K883" s="293"/>
      <c r="L883" s="293"/>
      <c r="M883" s="293"/>
      <c r="N883" s="293"/>
      <c r="O883" s="293"/>
      <c r="P883" s="293"/>
      <c r="Q883" s="293"/>
      <c r="R883" s="293"/>
      <c r="S883" s="293"/>
      <c r="T883" s="293"/>
      <c r="U883" s="293"/>
      <c r="V883" s="293"/>
      <c r="W883" s="293"/>
      <c r="X883" s="293"/>
      <c r="Y883" s="293"/>
      <c r="Z883" s="293"/>
      <c r="AA883" s="293"/>
      <c r="AB883" s="293"/>
      <c r="AC883" s="293"/>
      <c r="AD883" s="293"/>
    </row>
    <row r="884" spans="1:30" ht="14.25" customHeight="1" x14ac:dyDescent="0.3">
      <c r="A884" s="293"/>
      <c r="B884" s="293"/>
      <c r="C884" s="293"/>
      <c r="D884" s="293"/>
      <c r="E884" s="293"/>
      <c r="F884" s="293"/>
      <c r="G884" s="293"/>
      <c r="H884" s="293"/>
      <c r="I884" s="293"/>
      <c r="J884" s="293"/>
      <c r="K884" s="293"/>
      <c r="L884" s="293"/>
      <c r="M884" s="293"/>
      <c r="N884" s="293"/>
      <c r="O884" s="293"/>
      <c r="P884" s="293"/>
      <c r="Q884" s="293"/>
      <c r="R884" s="293"/>
      <c r="S884" s="293"/>
      <c r="T884" s="293"/>
      <c r="U884" s="293"/>
      <c r="V884" s="293"/>
      <c r="W884" s="293"/>
      <c r="X884" s="293"/>
      <c r="Y884" s="293"/>
      <c r="Z884" s="293"/>
      <c r="AA884" s="293"/>
      <c r="AB884" s="293"/>
      <c r="AC884" s="293"/>
      <c r="AD884" s="293"/>
    </row>
    <row r="885" spans="1:30" ht="14.25" customHeight="1" x14ac:dyDescent="0.3">
      <c r="A885" s="293"/>
      <c r="B885" s="293"/>
      <c r="C885" s="293"/>
      <c r="D885" s="293"/>
      <c r="E885" s="293"/>
      <c r="F885" s="293"/>
      <c r="G885" s="293"/>
      <c r="H885" s="293"/>
      <c r="I885" s="293"/>
      <c r="J885" s="293"/>
      <c r="K885" s="293"/>
      <c r="L885" s="293"/>
      <c r="M885" s="293"/>
      <c r="N885" s="293"/>
      <c r="O885" s="293"/>
      <c r="P885" s="293"/>
      <c r="Q885" s="293"/>
      <c r="R885" s="293"/>
      <c r="S885" s="293"/>
      <c r="T885" s="293"/>
      <c r="U885" s="293"/>
      <c r="V885" s="293"/>
      <c r="W885" s="293"/>
      <c r="X885" s="293"/>
      <c r="Y885" s="293"/>
      <c r="Z885" s="293"/>
      <c r="AA885" s="293"/>
      <c r="AB885" s="293"/>
      <c r="AC885" s="293"/>
      <c r="AD885" s="293"/>
    </row>
    <row r="886" spans="1:30" ht="14.25" customHeight="1" x14ac:dyDescent="0.3">
      <c r="A886" s="293"/>
      <c r="B886" s="293"/>
      <c r="C886" s="293"/>
      <c r="D886" s="293"/>
      <c r="E886" s="293"/>
      <c r="F886" s="293"/>
      <c r="G886" s="293"/>
      <c r="H886" s="293"/>
      <c r="I886" s="293"/>
      <c r="J886" s="293"/>
      <c r="K886" s="293"/>
      <c r="L886" s="293"/>
      <c r="M886" s="293"/>
      <c r="N886" s="293"/>
      <c r="O886" s="293"/>
      <c r="P886" s="293"/>
      <c r="Q886" s="293"/>
      <c r="R886" s="293"/>
      <c r="S886" s="293"/>
      <c r="T886" s="293"/>
      <c r="U886" s="293"/>
      <c r="V886" s="293"/>
      <c r="W886" s="293"/>
      <c r="X886" s="293"/>
      <c r="Y886" s="293"/>
      <c r="Z886" s="293"/>
      <c r="AA886" s="293"/>
      <c r="AB886" s="293"/>
      <c r="AC886" s="293"/>
      <c r="AD886" s="293"/>
    </row>
    <row r="887" spans="1:30" ht="14.25" customHeight="1" x14ac:dyDescent="0.3">
      <c r="A887" s="293"/>
      <c r="B887" s="293"/>
      <c r="C887" s="293"/>
      <c r="D887" s="293"/>
      <c r="E887" s="293"/>
      <c r="F887" s="293"/>
      <c r="G887" s="293"/>
      <c r="H887" s="293"/>
      <c r="I887" s="293"/>
      <c r="J887" s="293"/>
      <c r="K887" s="293"/>
      <c r="L887" s="293"/>
      <c r="M887" s="293"/>
      <c r="N887" s="293"/>
      <c r="O887" s="293"/>
      <c r="P887" s="293"/>
      <c r="Q887" s="293"/>
      <c r="R887" s="293"/>
      <c r="S887" s="293"/>
      <c r="T887" s="293"/>
      <c r="U887" s="293"/>
      <c r="V887" s="293"/>
      <c r="W887" s="293"/>
      <c r="X887" s="293"/>
      <c r="Y887" s="293"/>
      <c r="Z887" s="293"/>
      <c r="AA887" s="293"/>
      <c r="AB887" s="293"/>
      <c r="AC887" s="293"/>
      <c r="AD887" s="293"/>
    </row>
    <row r="888" spans="1:30" ht="14.25" customHeight="1" x14ac:dyDescent="0.3">
      <c r="A888" s="293"/>
      <c r="B888" s="293"/>
      <c r="C888" s="293"/>
      <c r="D888" s="293"/>
      <c r="E888" s="293"/>
      <c r="F888" s="293"/>
      <c r="G888" s="293"/>
      <c r="H888" s="293"/>
      <c r="I888" s="293"/>
      <c r="J888" s="293"/>
      <c r="K888" s="293"/>
      <c r="L888" s="293"/>
      <c r="M888" s="293"/>
      <c r="N888" s="293"/>
      <c r="O888" s="293"/>
      <c r="P888" s="293"/>
      <c r="Q888" s="293"/>
      <c r="R888" s="293"/>
      <c r="S888" s="293"/>
      <c r="T888" s="293"/>
      <c r="U888" s="293"/>
      <c r="V888" s="293"/>
      <c r="W888" s="293"/>
      <c r="X888" s="293"/>
      <c r="Y888" s="293"/>
      <c r="Z888" s="293"/>
      <c r="AA888" s="293"/>
      <c r="AB888" s="293"/>
      <c r="AC888" s="293"/>
      <c r="AD888" s="293"/>
    </row>
    <row r="889" spans="1:30" ht="14.25" customHeight="1" x14ac:dyDescent="0.3">
      <c r="A889" s="293"/>
      <c r="B889" s="293"/>
      <c r="C889" s="293"/>
      <c r="D889" s="293"/>
      <c r="E889" s="293"/>
      <c r="F889" s="293"/>
      <c r="G889" s="293"/>
      <c r="H889" s="293"/>
      <c r="I889" s="293"/>
      <c r="J889" s="293"/>
      <c r="K889" s="293"/>
      <c r="L889" s="293"/>
      <c r="M889" s="293"/>
      <c r="N889" s="293"/>
      <c r="O889" s="293"/>
      <c r="P889" s="293"/>
      <c r="Q889" s="293"/>
      <c r="R889" s="293"/>
      <c r="S889" s="293"/>
      <c r="T889" s="293"/>
      <c r="U889" s="293"/>
      <c r="V889" s="293"/>
      <c r="W889" s="293"/>
      <c r="X889" s="293"/>
      <c r="Y889" s="293"/>
      <c r="Z889" s="293"/>
      <c r="AA889" s="293"/>
      <c r="AB889" s="293"/>
      <c r="AC889" s="293"/>
      <c r="AD889" s="293"/>
    </row>
    <row r="890" spans="1:30" ht="14.25" customHeight="1" x14ac:dyDescent="0.3">
      <c r="A890" s="293"/>
      <c r="B890" s="293"/>
      <c r="C890" s="293"/>
      <c r="D890" s="293"/>
      <c r="E890" s="293"/>
      <c r="F890" s="293"/>
      <c r="G890" s="293"/>
      <c r="H890" s="293"/>
      <c r="I890" s="293"/>
      <c r="J890" s="293"/>
      <c r="K890" s="293"/>
      <c r="L890" s="293"/>
      <c r="M890" s="293"/>
      <c r="N890" s="293"/>
      <c r="O890" s="293"/>
      <c r="P890" s="293"/>
      <c r="Q890" s="293"/>
      <c r="R890" s="293"/>
      <c r="S890" s="293"/>
      <c r="T890" s="293"/>
      <c r="U890" s="293"/>
      <c r="V890" s="293"/>
      <c r="W890" s="293"/>
      <c r="X890" s="293"/>
      <c r="Y890" s="293"/>
      <c r="Z890" s="293"/>
      <c r="AA890" s="293"/>
      <c r="AB890" s="293"/>
      <c r="AC890" s="293"/>
      <c r="AD890" s="293"/>
    </row>
    <row r="891" spans="1:30" ht="14.25" customHeight="1" x14ac:dyDescent="0.3">
      <c r="A891" s="293"/>
      <c r="B891" s="293"/>
      <c r="C891" s="293"/>
      <c r="D891" s="293"/>
      <c r="E891" s="293"/>
      <c r="F891" s="293"/>
      <c r="G891" s="293"/>
      <c r="H891" s="293"/>
      <c r="I891" s="293"/>
      <c r="J891" s="293"/>
      <c r="K891" s="293"/>
      <c r="L891" s="293"/>
      <c r="M891" s="293"/>
      <c r="N891" s="293"/>
      <c r="O891" s="293"/>
      <c r="P891" s="293"/>
      <c r="Q891" s="293"/>
      <c r="R891" s="293"/>
      <c r="S891" s="293"/>
      <c r="T891" s="293"/>
      <c r="U891" s="293"/>
      <c r="V891" s="293"/>
      <c r="W891" s="293"/>
      <c r="X891" s="293"/>
      <c r="Y891" s="293"/>
      <c r="Z891" s="293"/>
      <c r="AA891" s="293"/>
      <c r="AB891" s="293"/>
      <c r="AC891" s="293"/>
      <c r="AD891" s="293"/>
    </row>
    <row r="892" spans="1:30" ht="14.25" customHeight="1" x14ac:dyDescent="0.3">
      <c r="A892" s="293"/>
      <c r="B892" s="293"/>
      <c r="C892" s="293"/>
      <c r="D892" s="293"/>
      <c r="E892" s="293"/>
      <c r="F892" s="293"/>
      <c r="G892" s="293"/>
      <c r="H892" s="293"/>
      <c r="I892" s="293"/>
      <c r="J892" s="293"/>
      <c r="K892" s="293"/>
      <c r="L892" s="293"/>
      <c r="M892" s="293"/>
      <c r="N892" s="293"/>
      <c r="O892" s="293"/>
      <c r="P892" s="293"/>
      <c r="Q892" s="293"/>
      <c r="R892" s="293"/>
      <c r="S892" s="293"/>
      <c r="T892" s="293"/>
      <c r="U892" s="293"/>
      <c r="V892" s="293"/>
      <c r="W892" s="293"/>
      <c r="X892" s="293"/>
      <c r="Y892" s="293"/>
      <c r="Z892" s="293"/>
      <c r="AA892" s="293"/>
      <c r="AB892" s="293"/>
      <c r="AC892" s="293"/>
      <c r="AD892" s="293"/>
    </row>
    <row r="893" spans="1:30" ht="14.25" customHeight="1" x14ac:dyDescent="0.3">
      <c r="A893" s="293"/>
      <c r="B893" s="293"/>
      <c r="C893" s="293"/>
      <c r="D893" s="293"/>
      <c r="E893" s="293"/>
      <c r="F893" s="293"/>
      <c r="G893" s="293"/>
      <c r="H893" s="293"/>
      <c r="I893" s="293"/>
      <c r="J893" s="293"/>
      <c r="K893" s="293"/>
      <c r="L893" s="293"/>
      <c r="M893" s="293"/>
      <c r="N893" s="293"/>
      <c r="O893" s="293"/>
      <c r="P893" s="293"/>
      <c r="Q893" s="293"/>
      <c r="R893" s="293"/>
      <c r="S893" s="293"/>
      <c r="T893" s="293"/>
      <c r="U893" s="293"/>
      <c r="V893" s="293"/>
      <c r="W893" s="293"/>
      <c r="X893" s="293"/>
      <c r="Y893" s="293"/>
      <c r="Z893" s="293"/>
      <c r="AA893" s="293"/>
      <c r="AB893" s="293"/>
      <c r="AC893" s="293"/>
      <c r="AD893" s="293"/>
    </row>
    <row r="894" spans="1:30" ht="14.25" customHeight="1" x14ac:dyDescent="0.3">
      <c r="A894" s="293"/>
      <c r="B894" s="293"/>
      <c r="C894" s="293"/>
      <c r="D894" s="293"/>
      <c r="E894" s="293"/>
      <c r="F894" s="293"/>
      <c r="G894" s="293"/>
      <c r="H894" s="293"/>
      <c r="I894" s="293"/>
      <c r="J894" s="293"/>
      <c r="K894" s="293"/>
      <c r="L894" s="293"/>
      <c r="M894" s="293"/>
      <c r="N894" s="293"/>
      <c r="O894" s="293"/>
      <c r="P894" s="293"/>
      <c r="Q894" s="293"/>
      <c r="R894" s="293"/>
      <c r="S894" s="293"/>
      <c r="T894" s="293"/>
      <c r="U894" s="293"/>
      <c r="V894" s="293"/>
      <c r="W894" s="293"/>
      <c r="X894" s="293"/>
      <c r="Y894" s="293"/>
      <c r="Z894" s="293"/>
      <c r="AA894" s="293"/>
      <c r="AB894" s="293"/>
      <c r="AC894" s="293"/>
      <c r="AD894" s="293"/>
    </row>
    <row r="895" spans="1:30" ht="14.25" customHeight="1" x14ac:dyDescent="0.3">
      <c r="A895" s="293"/>
      <c r="B895" s="293"/>
      <c r="C895" s="293"/>
      <c r="D895" s="293"/>
      <c r="E895" s="293"/>
      <c r="F895" s="293"/>
      <c r="G895" s="293"/>
      <c r="H895" s="293"/>
      <c r="I895" s="293"/>
      <c r="J895" s="293"/>
      <c r="K895" s="293"/>
      <c r="L895" s="293"/>
      <c r="M895" s="293"/>
      <c r="N895" s="293"/>
      <c r="O895" s="293"/>
      <c r="P895" s="293"/>
      <c r="Q895" s="293"/>
      <c r="R895" s="293"/>
      <c r="S895" s="293"/>
      <c r="T895" s="293"/>
      <c r="U895" s="293"/>
      <c r="V895" s="293"/>
      <c r="W895" s="293"/>
      <c r="X895" s="293"/>
      <c r="Y895" s="293"/>
      <c r="Z895" s="293"/>
      <c r="AA895" s="293"/>
      <c r="AB895" s="293"/>
      <c r="AC895" s="293"/>
      <c r="AD895" s="293"/>
    </row>
    <row r="896" spans="1:30" ht="14.25" customHeight="1" x14ac:dyDescent="0.3">
      <c r="A896" s="293"/>
      <c r="B896" s="293"/>
      <c r="C896" s="293"/>
      <c r="D896" s="293"/>
      <c r="E896" s="293"/>
      <c r="F896" s="293"/>
      <c r="G896" s="293"/>
      <c r="H896" s="293"/>
      <c r="I896" s="293"/>
      <c r="J896" s="293"/>
      <c r="K896" s="293"/>
      <c r="L896" s="293"/>
      <c r="M896" s="293"/>
      <c r="N896" s="293"/>
      <c r="O896" s="293"/>
      <c r="P896" s="293"/>
      <c r="Q896" s="293"/>
      <c r="R896" s="293"/>
      <c r="S896" s="293"/>
      <c r="T896" s="293"/>
      <c r="U896" s="293"/>
      <c r="V896" s="293"/>
      <c r="W896" s="293"/>
      <c r="X896" s="293"/>
      <c r="Y896" s="293"/>
      <c r="Z896" s="293"/>
      <c r="AA896" s="293"/>
      <c r="AB896" s="293"/>
      <c r="AC896" s="293"/>
      <c r="AD896" s="293"/>
    </row>
    <row r="897" spans="1:30" ht="14.25" customHeight="1" x14ac:dyDescent="0.3">
      <c r="A897" s="293"/>
      <c r="B897" s="293"/>
      <c r="C897" s="293"/>
      <c r="D897" s="293"/>
      <c r="E897" s="293"/>
      <c r="F897" s="293"/>
      <c r="G897" s="293"/>
      <c r="H897" s="293"/>
      <c r="I897" s="293"/>
      <c r="J897" s="293"/>
      <c r="K897" s="293"/>
      <c r="L897" s="293"/>
      <c r="M897" s="293"/>
      <c r="N897" s="293"/>
      <c r="O897" s="293"/>
      <c r="P897" s="293"/>
      <c r="Q897" s="293"/>
      <c r="R897" s="293"/>
      <c r="S897" s="293"/>
      <c r="T897" s="293"/>
      <c r="U897" s="293"/>
      <c r="V897" s="293"/>
      <c r="W897" s="293"/>
      <c r="X897" s="293"/>
      <c r="Y897" s="293"/>
      <c r="Z897" s="293"/>
      <c r="AA897" s="293"/>
      <c r="AB897" s="293"/>
      <c r="AC897" s="293"/>
      <c r="AD897" s="293"/>
    </row>
    <row r="898" spans="1:30" ht="14.25" customHeight="1" x14ac:dyDescent="0.3">
      <c r="A898" s="293"/>
      <c r="B898" s="293"/>
      <c r="C898" s="293"/>
      <c r="D898" s="293"/>
      <c r="E898" s="293"/>
      <c r="F898" s="293"/>
      <c r="G898" s="293"/>
      <c r="H898" s="293"/>
      <c r="I898" s="293"/>
      <c r="J898" s="293"/>
      <c r="K898" s="293"/>
      <c r="L898" s="293"/>
      <c r="M898" s="293"/>
      <c r="N898" s="293"/>
      <c r="O898" s="293"/>
      <c r="P898" s="293"/>
      <c r="Q898" s="293"/>
      <c r="R898" s="293"/>
      <c r="S898" s="293"/>
      <c r="T898" s="293"/>
      <c r="U898" s="293"/>
      <c r="V898" s="293"/>
      <c r="W898" s="293"/>
      <c r="X898" s="293"/>
      <c r="Y898" s="293"/>
      <c r="Z898" s="293"/>
      <c r="AA898" s="293"/>
      <c r="AB898" s="293"/>
      <c r="AC898" s="293"/>
      <c r="AD898" s="293"/>
    </row>
    <row r="899" spans="1:30" ht="14.25" customHeight="1" x14ac:dyDescent="0.3">
      <c r="A899" s="293"/>
      <c r="B899" s="293"/>
      <c r="C899" s="293"/>
      <c r="D899" s="293"/>
      <c r="E899" s="293"/>
      <c r="F899" s="293"/>
      <c r="G899" s="293"/>
      <c r="H899" s="293"/>
      <c r="I899" s="293"/>
      <c r="J899" s="293"/>
      <c r="K899" s="293"/>
      <c r="L899" s="293"/>
      <c r="M899" s="293"/>
      <c r="N899" s="293"/>
      <c r="O899" s="293"/>
      <c r="P899" s="293"/>
      <c r="Q899" s="293"/>
      <c r="R899" s="293"/>
      <c r="S899" s="293"/>
      <c r="T899" s="293"/>
      <c r="U899" s="293"/>
      <c r="V899" s="293"/>
      <c r="W899" s="293"/>
      <c r="X899" s="293"/>
      <c r="Y899" s="293"/>
      <c r="Z899" s="293"/>
      <c r="AA899" s="293"/>
      <c r="AB899" s="293"/>
      <c r="AC899" s="293"/>
      <c r="AD899" s="293"/>
    </row>
    <row r="900" spans="1:30" ht="14.25" customHeight="1" x14ac:dyDescent="0.3">
      <c r="A900" s="293"/>
      <c r="B900" s="293"/>
      <c r="C900" s="293"/>
      <c r="D900" s="293"/>
      <c r="E900" s="293"/>
      <c r="F900" s="293"/>
      <c r="G900" s="293"/>
      <c r="H900" s="293"/>
      <c r="I900" s="293"/>
      <c r="J900" s="293"/>
      <c r="K900" s="293"/>
      <c r="L900" s="293"/>
      <c r="M900" s="293"/>
      <c r="N900" s="293"/>
      <c r="O900" s="293"/>
      <c r="P900" s="293"/>
      <c r="Q900" s="293"/>
      <c r="R900" s="293"/>
      <c r="S900" s="293"/>
      <c r="T900" s="293"/>
      <c r="U900" s="293"/>
      <c r="V900" s="293"/>
      <c r="W900" s="293"/>
      <c r="X900" s="293"/>
      <c r="Y900" s="293"/>
      <c r="Z900" s="293"/>
      <c r="AA900" s="293"/>
      <c r="AB900" s="293"/>
      <c r="AC900" s="293"/>
      <c r="AD900" s="293"/>
    </row>
    <row r="901" spans="1:30" ht="14.25" customHeight="1" x14ac:dyDescent="0.3">
      <c r="A901" s="293"/>
      <c r="B901" s="293"/>
      <c r="C901" s="293"/>
      <c r="D901" s="293"/>
      <c r="E901" s="293"/>
      <c r="F901" s="293"/>
      <c r="G901" s="293"/>
      <c r="H901" s="293"/>
      <c r="I901" s="293"/>
      <c r="J901" s="293"/>
      <c r="K901" s="293"/>
      <c r="L901" s="293"/>
      <c r="M901" s="293"/>
      <c r="N901" s="293"/>
      <c r="O901" s="293"/>
      <c r="P901" s="293"/>
      <c r="Q901" s="293"/>
      <c r="R901" s="293"/>
      <c r="S901" s="293"/>
      <c r="T901" s="293"/>
      <c r="U901" s="293"/>
      <c r="V901" s="293"/>
      <c r="W901" s="293"/>
      <c r="X901" s="293"/>
      <c r="Y901" s="293"/>
      <c r="Z901" s="293"/>
      <c r="AA901" s="293"/>
      <c r="AB901" s="293"/>
      <c r="AC901" s="293"/>
      <c r="AD901" s="293"/>
    </row>
    <row r="902" spans="1:30" ht="14.25" customHeight="1" x14ac:dyDescent="0.3">
      <c r="A902" s="293"/>
      <c r="B902" s="293"/>
      <c r="C902" s="293"/>
      <c r="D902" s="293"/>
      <c r="E902" s="293"/>
      <c r="F902" s="293"/>
      <c r="G902" s="293"/>
      <c r="H902" s="293"/>
      <c r="I902" s="293"/>
      <c r="J902" s="293"/>
      <c r="K902" s="293"/>
      <c r="L902" s="293"/>
      <c r="M902" s="293"/>
      <c r="N902" s="293"/>
      <c r="O902" s="293"/>
      <c r="P902" s="293"/>
      <c r="Q902" s="293"/>
      <c r="R902" s="293"/>
      <c r="S902" s="293"/>
      <c r="T902" s="293"/>
      <c r="U902" s="293"/>
      <c r="V902" s="293"/>
      <c r="W902" s="293"/>
      <c r="X902" s="293"/>
      <c r="Y902" s="293"/>
      <c r="Z902" s="293"/>
      <c r="AA902" s="293"/>
      <c r="AB902" s="293"/>
      <c r="AC902" s="293"/>
      <c r="AD902" s="293"/>
    </row>
    <row r="903" spans="1:30" ht="14.25" customHeight="1" x14ac:dyDescent="0.3">
      <c r="A903" s="293"/>
      <c r="B903" s="293"/>
      <c r="C903" s="293"/>
      <c r="D903" s="293"/>
      <c r="E903" s="293"/>
      <c r="F903" s="293"/>
      <c r="G903" s="293"/>
      <c r="H903" s="293"/>
      <c r="I903" s="293"/>
      <c r="J903" s="293"/>
      <c r="K903" s="293"/>
      <c r="L903" s="293"/>
      <c r="M903" s="293"/>
      <c r="N903" s="293"/>
      <c r="O903" s="293"/>
      <c r="P903" s="293"/>
      <c r="Q903" s="293"/>
      <c r="R903" s="293"/>
      <c r="S903" s="293"/>
      <c r="T903" s="293"/>
      <c r="U903" s="293"/>
      <c r="V903" s="293"/>
      <c r="W903" s="293"/>
      <c r="X903" s="293"/>
      <c r="Y903" s="293"/>
      <c r="Z903" s="293"/>
      <c r="AA903" s="293"/>
      <c r="AB903" s="293"/>
      <c r="AC903" s="293"/>
      <c r="AD903" s="293"/>
    </row>
    <row r="904" spans="1:30" ht="14.25" customHeight="1" x14ac:dyDescent="0.3">
      <c r="A904" s="293"/>
      <c r="B904" s="293"/>
      <c r="C904" s="293"/>
      <c r="D904" s="293"/>
      <c r="E904" s="293"/>
      <c r="F904" s="293"/>
      <c r="G904" s="293"/>
      <c r="H904" s="293"/>
      <c r="I904" s="293"/>
      <c r="J904" s="293"/>
      <c r="K904" s="293"/>
      <c r="L904" s="293"/>
      <c r="M904" s="293"/>
      <c r="N904" s="293"/>
      <c r="O904" s="293"/>
      <c r="P904" s="293"/>
      <c r="Q904" s="293"/>
      <c r="R904" s="293"/>
      <c r="S904" s="293"/>
      <c r="T904" s="293"/>
      <c r="U904" s="293"/>
      <c r="V904" s="293"/>
      <c r="W904" s="293"/>
      <c r="X904" s="293"/>
      <c r="Y904" s="293"/>
      <c r="Z904" s="293"/>
      <c r="AA904" s="293"/>
      <c r="AB904" s="293"/>
      <c r="AC904" s="293"/>
      <c r="AD904" s="293"/>
    </row>
    <row r="905" spans="1:30" ht="14.25" customHeight="1" x14ac:dyDescent="0.3">
      <c r="A905" s="293"/>
      <c r="B905" s="293"/>
      <c r="C905" s="293"/>
      <c r="D905" s="293"/>
      <c r="E905" s="293"/>
      <c r="F905" s="293"/>
      <c r="G905" s="293"/>
      <c r="H905" s="293"/>
      <c r="I905" s="293"/>
      <c r="J905" s="293"/>
      <c r="K905" s="293"/>
      <c r="L905" s="293"/>
      <c r="M905" s="293"/>
      <c r="N905" s="293"/>
      <c r="O905" s="293"/>
      <c r="P905" s="293"/>
      <c r="Q905" s="293"/>
      <c r="R905" s="293"/>
      <c r="S905" s="293"/>
      <c r="T905" s="293"/>
      <c r="U905" s="293"/>
      <c r="V905" s="293"/>
      <c r="W905" s="293"/>
      <c r="X905" s="293"/>
      <c r="Y905" s="293"/>
      <c r="Z905" s="293"/>
      <c r="AA905" s="293"/>
      <c r="AB905" s="293"/>
      <c r="AC905" s="293"/>
      <c r="AD905" s="293"/>
    </row>
    <row r="906" spans="1:30" ht="14.25" customHeight="1" x14ac:dyDescent="0.3">
      <c r="A906" s="293"/>
      <c r="B906" s="293"/>
      <c r="C906" s="293"/>
      <c r="D906" s="293"/>
      <c r="E906" s="293"/>
      <c r="F906" s="293"/>
      <c r="G906" s="293"/>
      <c r="H906" s="293"/>
      <c r="I906" s="293"/>
      <c r="J906" s="293"/>
      <c r="K906" s="293"/>
      <c r="L906" s="293"/>
      <c r="M906" s="293"/>
      <c r="N906" s="293"/>
      <c r="O906" s="293"/>
      <c r="P906" s="293"/>
      <c r="Q906" s="293"/>
      <c r="R906" s="293"/>
      <c r="S906" s="293"/>
      <c r="T906" s="293"/>
      <c r="U906" s="293"/>
      <c r="V906" s="293"/>
      <c r="W906" s="293"/>
      <c r="X906" s="293"/>
      <c r="Y906" s="293"/>
      <c r="Z906" s="293"/>
      <c r="AA906" s="293"/>
      <c r="AB906" s="293"/>
      <c r="AC906" s="293"/>
      <c r="AD906" s="293"/>
    </row>
    <row r="907" spans="1:30" ht="14.25" customHeight="1" x14ac:dyDescent="0.3">
      <c r="A907" s="293"/>
      <c r="B907" s="293"/>
      <c r="C907" s="293"/>
      <c r="D907" s="293"/>
      <c r="E907" s="293"/>
      <c r="F907" s="293"/>
      <c r="G907" s="293"/>
      <c r="H907" s="293"/>
      <c r="I907" s="293"/>
      <c r="J907" s="293"/>
      <c r="K907" s="293"/>
      <c r="L907" s="293"/>
      <c r="M907" s="293"/>
      <c r="N907" s="293"/>
      <c r="O907" s="293"/>
      <c r="P907" s="293"/>
      <c r="Q907" s="293"/>
      <c r="R907" s="293"/>
      <c r="S907" s="293"/>
      <c r="T907" s="293"/>
      <c r="U907" s="293"/>
      <c r="V907" s="293"/>
      <c r="W907" s="293"/>
      <c r="X907" s="293"/>
      <c r="Y907" s="293"/>
      <c r="Z907" s="293"/>
      <c r="AA907" s="293"/>
      <c r="AB907" s="293"/>
      <c r="AC907" s="293"/>
      <c r="AD907" s="293"/>
    </row>
    <row r="908" spans="1:30" ht="14.25" customHeight="1" x14ac:dyDescent="0.3">
      <c r="A908" s="293"/>
      <c r="B908" s="293"/>
      <c r="C908" s="293"/>
      <c r="D908" s="293"/>
      <c r="E908" s="293"/>
      <c r="F908" s="293"/>
      <c r="G908" s="293"/>
      <c r="H908" s="293"/>
      <c r="I908" s="293"/>
      <c r="J908" s="293"/>
      <c r="K908" s="293"/>
      <c r="L908" s="293"/>
      <c r="M908" s="293"/>
      <c r="N908" s="293"/>
      <c r="O908" s="293"/>
      <c r="P908" s="293"/>
      <c r="Q908" s="293"/>
      <c r="R908" s="293"/>
      <c r="S908" s="293"/>
      <c r="T908" s="293"/>
      <c r="U908" s="293"/>
      <c r="V908" s="293"/>
      <c r="W908" s="293"/>
      <c r="X908" s="293"/>
      <c r="Y908" s="293"/>
      <c r="Z908" s="293"/>
      <c r="AA908" s="293"/>
      <c r="AB908" s="293"/>
      <c r="AC908" s="293"/>
      <c r="AD908" s="293"/>
    </row>
    <row r="909" spans="1:30" ht="14.25" customHeight="1" x14ac:dyDescent="0.3">
      <c r="A909" s="293"/>
      <c r="B909" s="293"/>
      <c r="C909" s="293"/>
      <c r="D909" s="293"/>
      <c r="E909" s="293"/>
      <c r="F909" s="293"/>
      <c r="G909" s="293"/>
      <c r="H909" s="293"/>
      <c r="I909" s="293"/>
      <c r="J909" s="293"/>
      <c r="K909" s="293"/>
      <c r="L909" s="293"/>
      <c r="M909" s="293"/>
      <c r="N909" s="293"/>
      <c r="O909" s="293"/>
      <c r="P909" s="293"/>
      <c r="Q909" s="293"/>
      <c r="R909" s="293"/>
      <c r="S909" s="293"/>
      <c r="T909" s="293"/>
      <c r="U909" s="293"/>
      <c r="V909" s="293"/>
      <c r="W909" s="293"/>
      <c r="X909" s="293"/>
      <c r="Y909" s="293"/>
      <c r="Z909" s="293"/>
      <c r="AA909" s="293"/>
      <c r="AB909" s="293"/>
      <c r="AC909" s="293"/>
      <c r="AD909" s="293"/>
    </row>
    <row r="910" spans="1:30" ht="14.25" customHeight="1" x14ac:dyDescent="0.3">
      <c r="A910" s="293"/>
      <c r="B910" s="293"/>
      <c r="C910" s="293"/>
      <c r="D910" s="293"/>
      <c r="E910" s="293"/>
      <c r="F910" s="293"/>
      <c r="G910" s="293"/>
      <c r="H910" s="293"/>
      <c r="I910" s="293"/>
      <c r="J910" s="293"/>
      <c r="K910" s="293"/>
      <c r="L910" s="293"/>
      <c r="M910" s="293"/>
      <c r="N910" s="293"/>
      <c r="O910" s="293"/>
      <c r="P910" s="293"/>
      <c r="Q910" s="293"/>
      <c r="R910" s="293"/>
      <c r="S910" s="293"/>
      <c r="T910" s="293"/>
      <c r="U910" s="293"/>
      <c r="V910" s="293"/>
      <c r="W910" s="293"/>
      <c r="X910" s="293"/>
      <c r="Y910" s="293"/>
      <c r="Z910" s="293"/>
      <c r="AA910" s="293"/>
      <c r="AB910" s="293"/>
      <c r="AC910" s="293"/>
      <c r="AD910" s="293"/>
    </row>
    <row r="911" spans="1:30" ht="14.25" customHeight="1" x14ac:dyDescent="0.3">
      <c r="A911" s="293"/>
      <c r="B911" s="293"/>
      <c r="C911" s="293"/>
      <c r="D911" s="293"/>
      <c r="E911" s="293"/>
      <c r="F911" s="293"/>
      <c r="G911" s="293"/>
      <c r="H911" s="293"/>
      <c r="I911" s="293"/>
      <c r="J911" s="293"/>
      <c r="K911" s="293"/>
      <c r="L911" s="293"/>
      <c r="M911" s="293"/>
      <c r="N911" s="293"/>
      <c r="O911" s="293"/>
      <c r="P911" s="293"/>
      <c r="Q911" s="293"/>
      <c r="R911" s="293"/>
      <c r="S911" s="293"/>
      <c r="T911" s="293"/>
      <c r="U911" s="293"/>
      <c r="V911" s="293"/>
      <c r="W911" s="293"/>
      <c r="X911" s="293"/>
      <c r="Y911" s="293"/>
      <c r="Z911" s="293"/>
      <c r="AA911" s="293"/>
      <c r="AB911" s="293"/>
      <c r="AC911" s="293"/>
      <c r="AD911" s="293"/>
    </row>
    <row r="912" spans="1:30" ht="14.25" customHeight="1" x14ac:dyDescent="0.3">
      <c r="A912" s="293"/>
      <c r="B912" s="293"/>
      <c r="C912" s="293"/>
      <c r="D912" s="293"/>
      <c r="E912" s="293"/>
      <c r="F912" s="293"/>
      <c r="G912" s="293"/>
      <c r="H912" s="293"/>
      <c r="I912" s="293"/>
      <c r="J912" s="293"/>
      <c r="K912" s="293"/>
      <c r="L912" s="293"/>
      <c r="M912" s="293"/>
      <c r="N912" s="293"/>
      <c r="O912" s="293"/>
      <c r="P912" s="293"/>
      <c r="Q912" s="293"/>
      <c r="R912" s="293"/>
      <c r="S912" s="293"/>
      <c r="T912" s="293"/>
      <c r="U912" s="293"/>
      <c r="V912" s="293"/>
      <c r="W912" s="293"/>
      <c r="X912" s="293"/>
      <c r="Y912" s="293"/>
      <c r="Z912" s="293"/>
      <c r="AA912" s="293"/>
      <c r="AB912" s="293"/>
      <c r="AC912" s="293"/>
      <c r="AD912" s="293"/>
    </row>
    <row r="913" spans="1:30" ht="14.25" customHeight="1" x14ac:dyDescent="0.3">
      <c r="A913" s="293"/>
      <c r="B913" s="293"/>
      <c r="C913" s="293"/>
      <c r="D913" s="293"/>
      <c r="E913" s="293"/>
      <c r="F913" s="293"/>
      <c r="G913" s="293"/>
      <c r="H913" s="293"/>
      <c r="I913" s="293"/>
      <c r="J913" s="293"/>
      <c r="K913" s="293"/>
      <c r="L913" s="293"/>
      <c r="M913" s="293"/>
      <c r="N913" s="293"/>
      <c r="O913" s="293"/>
      <c r="P913" s="293"/>
      <c r="Q913" s="293"/>
      <c r="R913" s="293"/>
      <c r="S913" s="293"/>
      <c r="T913" s="293"/>
      <c r="U913" s="293"/>
      <c r="V913" s="293"/>
      <c r="W913" s="293"/>
      <c r="X913" s="293"/>
      <c r="Y913" s="293"/>
      <c r="Z913" s="293"/>
      <c r="AA913" s="293"/>
      <c r="AB913" s="293"/>
      <c r="AC913" s="293"/>
      <c r="AD913" s="293"/>
    </row>
    <row r="914" spans="1:30" ht="14.25" customHeight="1" x14ac:dyDescent="0.3">
      <c r="A914" s="293"/>
      <c r="B914" s="293"/>
      <c r="C914" s="293"/>
      <c r="D914" s="293"/>
      <c r="E914" s="293"/>
      <c r="F914" s="293"/>
      <c r="G914" s="293"/>
      <c r="H914" s="293"/>
      <c r="I914" s="293"/>
      <c r="J914" s="293"/>
      <c r="K914" s="293"/>
      <c r="L914" s="293"/>
      <c r="M914" s="293"/>
      <c r="N914" s="293"/>
      <c r="O914" s="293"/>
      <c r="P914" s="293"/>
      <c r="Q914" s="293"/>
      <c r="R914" s="293"/>
      <c r="S914" s="293"/>
      <c r="T914" s="293"/>
      <c r="U914" s="293"/>
      <c r="V914" s="293"/>
      <c r="W914" s="293"/>
      <c r="X914" s="293"/>
      <c r="Y914" s="293"/>
      <c r="Z914" s="293"/>
      <c r="AA914" s="293"/>
      <c r="AB914" s="293"/>
      <c r="AC914" s="293"/>
      <c r="AD914" s="293"/>
    </row>
    <row r="915" spans="1:30" ht="14.25" customHeight="1" x14ac:dyDescent="0.3">
      <c r="A915" s="293"/>
      <c r="B915" s="293"/>
      <c r="C915" s="293"/>
      <c r="D915" s="293"/>
      <c r="E915" s="293"/>
      <c r="F915" s="293"/>
      <c r="G915" s="293"/>
      <c r="H915" s="293"/>
      <c r="I915" s="293"/>
      <c r="J915" s="293"/>
      <c r="K915" s="293"/>
      <c r="L915" s="293"/>
      <c r="M915" s="293"/>
      <c r="N915" s="293"/>
      <c r="O915" s="293"/>
      <c r="P915" s="293"/>
      <c r="Q915" s="293"/>
      <c r="R915" s="293"/>
      <c r="S915" s="293"/>
      <c r="T915" s="293"/>
      <c r="U915" s="293"/>
      <c r="V915" s="293"/>
      <c r="W915" s="293"/>
      <c r="X915" s="293"/>
      <c r="Y915" s="293"/>
      <c r="Z915" s="293"/>
      <c r="AA915" s="293"/>
      <c r="AB915" s="293"/>
      <c r="AC915" s="293"/>
      <c r="AD915" s="293"/>
    </row>
    <row r="916" spans="1:30" ht="14.25" customHeight="1" x14ac:dyDescent="0.3">
      <c r="A916" s="293"/>
      <c r="B916" s="293"/>
      <c r="C916" s="293"/>
      <c r="D916" s="293"/>
      <c r="E916" s="293"/>
      <c r="F916" s="293"/>
      <c r="G916" s="293"/>
      <c r="H916" s="293"/>
      <c r="I916" s="293"/>
      <c r="J916" s="293"/>
      <c r="K916" s="293"/>
      <c r="L916" s="293"/>
      <c r="M916" s="293"/>
      <c r="N916" s="293"/>
      <c r="O916" s="293"/>
      <c r="P916" s="293"/>
      <c r="Q916" s="293"/>
      <c r="R916" s="293"/>
      <c r="S916" s="293"/>
      <c r="T916" s="293"/>
      <c r="U916" s="293"/>
      <c r="V916" s="293"/>
      <c r="W916" s="293"/>
      <c r="X916" s="293"/>
      <c r="Y916" s="293"/>
      <c r="Z916" s="293"/>
      <c r="AA916" s="293"/>
      <c r="AB916" s="293"/>
      <c r="AC916" s="293"/>
      <c r="AD916" s="293"/>
    </row>
    <row r="917" spans="1:30" ht="14.25" customHeight="1" x14ac:dyDescent="0.3">
      <c r="A917" s="293"/>
      <c r="B917" s="293"/>
      <c r="C917" s="293"/>
      <c r="D917" s="293"/>
      <c r="E917" s="293"/>
      <c r="F917" s="293"/>
      <c r="G917" s="293"/>
      <c r="H917" s="293"/>
      <c r="I917" s="293"/>
      <c r="J917" s="293"/>
      <c r="K917" s="293"/>
      <c r="L917" s="293"/>
      <c r="M917" s="293"/>
      <c r="N917" s="293"/>
      <c r="O917" s="293"/>
      <c r="P917" s="293"/>
      <c r="Q917" s="293"/>
      <c r="R917" s="293"/>
      <c r="S917" s="293"/>
      <c r="T917" s="293"/>
      <c r="U917" s="293"/>
      <c r="V917" s="293"/>
      <c r="W917" s="293"/>
      <c r="X917" s="293"/>
      <c r="Y917" s="293"/>
      <c r="Z917" s="293"/>
      <c r="AA917" s="293"/>
      <c r="AB917" s="293"/>
      <c r="AC917" s="293"/>
      <c r="AD917" s="293"/>
    </row>
    <row r="918" spans="1:30" ht="14.25" customHeight="1" x14ac:dyDescent="0.3">
      <c r="A918" s="293"/>
      <c r="B918" s="293"/>
      <c r="C918" s="293"/>
      <c r="D918" s="293"/>
      <c r="E918" s="293"/>
      <c r="F918" s="293"/>
      <c r="G918" s="293"/>
      <c r="H918" s="293"/>
      <c r="I918" s="293"/>
      <c r="J918" s="293"/>
      <c r="K918" s="293"/>
      <c r="L918" s="293"/>
      <c r="M918" s="293"/>
      <c r="N918" s="293"/>
      <c r="O918" s="293"/>
      <c r="P918" s="293"/>
      <c r="Q918" s="293"/>
      <c r="R918" s="293"/>
      <c r="S918" s="293"/>
      <c r="T918" s="293"/>
      <c r="U918" s="293"/>
      <c r="V918" s="293"/>
      <c r="W918" s="293"/>
      <c r="X918" s="293"/>
      <c r="Y918" s="293"/>
      <c r="Z918" s="293"/>
      <c r="AA918" s="293"/>
      <c r="AB918" s="293"/>
      <c r="AC918" s="293"/>
      <c r="AD918" s="293"/>
    </row>
    <row r="919" spans="1:30" ht="14.25" customHeight="1" x14ac:dyDescent="0.3">
      <c r="A919" s="293"/>
      <c r="B919" s="293"/>
      <c r="C919" s="293"/>
      <c r="D919" s="293"/>
      <c r="E919" s="293"/>
      <c r="F919" s="293"/>
      <c r="G919" s="293"/>
      <c r="H919" s="293"/>
      <c r="I919" s="293"/>
      <c r="J919" s="293"/>
      <c r="K919" s="293"/>
      <c r="L919" s="293"/>
      <c r="M919" s="293"/>
      <c r="N919" s="293"/>
      <c r="O919" s="293"/>
      <c r="P919" s="293"/>
      <c r="Q919" s="293"/>
      <c r="R919" s="293"/>
      <c r="S919" s="293"/>
      <c r="T919" s="293"/>
      <c r="U919" s="293"/>
      <c r="V919" s="293"/>
      <c r="W919" s="293"/>
      <c r="X919" s="293"/>
      <c r="Y919" s="293"/>
      <c r="Z919" s="293"/>
      <c r="AA919" s="293"/>
      <c r="AB919" s="293"/>
      <c r="AC919" s="293"/>
      <c r="AD919" s="293"/>
    </row>
    <row r="920" spans="1:30" ht="14.25" customHeight="1" x14ac:dyDescent="0.3">
      <c r="A920" s="293"/>
      <c r="B920" s="293"/>
      <c r="C920" s="293"/>
      <c r="D920" s="293"/>
      <c r="E920" s="293"/>
      <c r="F920" s="293"/>
      <c r="G920" s="293"/>
      <c r="H920" s="293"/>
      <c r="I920" s="293"/>
      <c r="J920" s="293"/>
      <c r="K920" s="293"/>
      <c r="L920" s="293"/>
      <c r="M920" s="293"/>
      <c r="N920" s="293"/>
      <c r="O920" s="293"/>
      <c r="P920" s="293"/>
      <c r="Q920" s="293"/>
      <c r="R920" s="293"/>
      <c r="S920" s="293"/>
      <c r="T920" s="293"/>
      <c r="U920" s="293"/>
      <c r="V920" s="293"/>
      <c r="W920" s="293"/>
      <c r="X920" s="293"/>
      <c r="Y920" s="293"/>
      <c r="Z920" s="293"/>
      <c r="AA920" s="293"/>
      <c r="AB920" s="293"/>
      <c r="AC920" s="293"/>
      <c r="AD920" s="293"/>
    </row>
    <row r="921" spans="1:30" ht="14.25" customHeight="1" x14ac:dyDescent="0.3">
      <c r="A921" s="293"/>
      <c r="B921" s="293"/>
      <c r="C921" s="293"/>
      <c r="D921" s="293"/>
      <c r="E921" s="293"/>
      <c r="F921" s="293"/>
      <c r="G921" s="293"/>
      <c r="H921" s="293"/>
      <c r="I921" s="293"/>
      <c r="J921" s="293"/>
      <c r="K921" s="293"/>
      <c r="L921" s="293"/>
      <c r="M921" s="293"/>
      <c r="N921" s="293"/>
      <c r="O921" s="293"/>
      <c r="P921" s="293"/>
      <c r="Q921" s="293"/>
      <c r="R921" s="293"/>
      <c r="S921" s="293"/>
      <c r="T921" s="293"/>
      <c r="U921" s="293"/>
      <c r="V921" s="293"/>
      <c r="W921" s="293"/>
      <c r="X921" s="293"/>
      <c r="Y921" s="293"/>
      <c r="Z921" s="293"/>
      <c r="AA921" s="293"/>
      <c r="AB921" s="293"/>
      <c r="AC921" s="293"/>
      <c r="AD921" s="293"/>
    </row>
    <row r="922" spans="1:30" ht="14.25" customHeight="1" x14ac:dyDescent="0.3">
      <c r="A922" s="293"/>
      <c r="B922" s="293"/>
      <c r="C922" s="293"/>
      <c r="D922" s="293"/>
      <c r="E922" s="293"/>
      <c r="F922" s="293"/>
      <c r="G922" s="293"/>
      <c r="H922" s="293"/>
      <c r="I922" s="293"/>
      <c r="J922" s="293"/>
      <c r="K922" s="293"/>
      <c r="L922" s="293"/>
      <c r="M922" s="293"/>
      <c r="N922" s="293"/>
      <c r="O922" s="293"/>
      <c r="P922" s="293"/>
      <c r="Q922" s="293"/>
      <c r="R922" s="293"/>
      <c r="S922" s="293"/>
      <c r="T922" s="293"/>
      <c r="U922" s="293"/>
      <c r="V922" s="293"/>
      <c r="W922" s="293"/>
      <c r="X922" s="293"/>
      <c r="Y922" s="293"/>
      <c r="Z922" s="293"/>
      <c r="AA922" s="293"/>
      <c r="AB922" s="293"/>
      <c r="AC922" s="293"/>
      <c r="AD922" s="293"/>
    </row>
    <row r="923" spans="1:30" ht="14.25" customHeight="1" x14ac:dyDescent="0.3">
      <c r="A923" s="293"/>
      <c r="B923" s="293"/>
      <c r="C923" s="293"/>
      <c r="D923" s="293"/>
      <c r="E923" s="293"/>
      <c r="F923" s="293"/>
      <c r="G923" s="293"/>
      <c r="H923" s="293"/>
      <c r="I923" s="293"/>
      <c r="J923" s="293"/>
      <c r="K923" s="293"/>
      <c r="L923" s="293"/>
      <c r="M923" s="293"/>
      <c r="N923" s="293"/>
      <c r="O923" s="293"/>
      <c r="P923" s="293"/>
      <c r="Q923" s="293"/>
      <c r="R923" s="293"/>
      <c r="S923" s="293"/>
      <c r="T923" s="293"/>
      <c r="U923" s="293"/>
      <c r="V923" s="293"/>
      <c r="W923" s="293"/>
      <c r="X923" s="293"/>
      <c r="Y923" s="293"/>
      <c r="Z923" s="293"/>
      <c r="AA923" s="293"/>
      <c r="AB923" s="293"/>
      <c r="AC923" s="293"/>
      <c r="AD923" s="293"/>
    </row>
    <row r="924" spans="1:30" ht="14.25" customHeight="1" x14ac:dyDescent="0.3">
      <c r="A924" s="293"/>
      <c r="B924" s="293"/>
      <c r="C924" s="293"/>
      <c r="D924" s="293"/>
      <c r="E924" s="293"/>
      <c r="F924" s="293"/>
      <c r="G924" s="293"/>
      <c r="H924" s="293"/>
      <c r="I924" s="293"/>
      <c r="J924" s="293"/>
      <c r="K924" s="293"/>
      <c r="L924" s="293"/>
      <c r="M924" s="293"/>
      <c r="N924" s="293"/>
      <c r="O924" s="293"/>
      <c r="P924" s="293"/>
      <c r="Q924" s="293"/>
      <c r="R924" s="293"/>
      <c r="S924" s="293"/>
      <c r="T924" s="293"/>
      <c r="U924" s="293"/>
      <c r="V924" s="293"/>
      <c r="W924" s="293"/>
      <c r="X924" s="293"/>
      <c r="Y924" s="293"/>
      <c r="Z924" s="293"/>
      <c r="AA924" s="293"/>
      <c r="AB924" s="293"/>
      <c r="AC924" s="293"/>
      <c r="AD924" s="293"/>
    </row>
    <row r="925" spans="1:30" ht="14.25" customHeight="1" x14ac:dyDescent="0.3">
      <c r="A925" s="293"/>
      <c r="B925" s="293"/>
      <c r="C925" s="293"/>
      <c r="D925" s="293"/>
      <c r="E925" s="293"/>
      <c r="F925" s="293"/>
      <c r="G925" s="293"/>
      <c r="H925" s="293"/>
      <c r="I925" s="293"/>
      <c r="J925" s="293"/>
      <c r="K925" s="293"/>
      <c r="L925" s="293"/>
      <c r="M925" s="293"/>
      <c r="N925" s="293"/>
      <c r="O925" s="293"/>
      <c r="P925" s="293"/>
      <c r="Q925" s="293"/>
      <c r="R925" s="293"/>
      <c r="S925" s="293"/>
      <c r="T925" s="293"/>
      <c r="U925" s="293"/>
      <c r="V925" s="293"/>
      <c r="W925" s="293"/>
      <c r="X925" s="293"/>
      <c r="Y925" s="293"/>
      <c r="Z925" s="293"/>
      <c r="AA925" s="293"/>
      <c r="AB925" s="293"/>
      <c r="AC925" s="293"/>
      <c r="AD925" s="293"/>
    </row>
    <row r="926" spans="1:30" ht="14.25" customHeight="1" x14ac:dyDescent="0.3">
      <c r="A926" s="293"/>
      <c r="B926" s="293"/>
      <c r="C926" s="293"/>
      <c r="D926" s="293"/>
      <c r="E926" s="293"/>
      <c r="F926" s="293"/>
      <c r="G926" s="293"/>
      <c r="H926" s="293"/>
      <c r="I926" s="293"/>
      <c r="J926" s="293"/>
      <c r="K926" s="293"/>
      <c r="L926" s="293"/>
      <c r="M926" s="293"/>
      <c r="N926" s="293"/>
      <c r="O926" s="293"/>
      <c r="P926" s="293"/>
      <c r="Q926" s="293"/>
      <c r="R926" s="293"/>
      <c r="S926" s="293"/>
      <c r="T926" s="293"/>
      <c r="U926" s="293"/>
      <c r="V926" s="293"/>
      <c r="W926" s="293"/>
      <c r="X926" s="293"/>
      <c r="Y926" s="293"/>
      <c r="Z926" s="293"/>
      <c r="AA926" s="293"/>
      <c r="AB926" s="293"/>
      <c r="AC926" s="293"/>
      <c r="AD926" s="293"/>
    </row>
    <row r="927" spans="1:30" ht="14.25" customHeight="1" x14ac:dyDescent="0.3">
      <c r="A927" s="293"/>
      <c r="B927" s="293"/>
      <c r="C927" s="293"/>
      <c r="D927" s="293"/>
      <c r="E927" s="293"/>
      <c r="F927" s="293"/>
      <c r="G927" s="293"/>
      <c r="H927" s="293"/>
      <c r="I927" s="293"/>
      <c r="J927" s="293"/>
      <c r="K927" s="293"/>
      <c r="L927" s="293"/>
      <c r="M927" s="293"/>
      <c r="N927" s="293"/>
      <c r="O927" s="293"/>
      <c r="P927" s="293"/>
      <c r="Q927" s="293"/>
      <c r="R927" s="293"/>
      <c r="S927" s="293"/>
      <c r="T927" s="293"/>
      <c r="U927" s="293"/>
      <c r="V927" s="293"/>
      <c r="W927" s="293"/>
      <c r="X927" s="293"/>
      <c r="Y927" s="293"/>
      <c r="Z927" s="293"/>
      <c r="AA927" s="293"/>
      <c r="AB927" s="293"/>
      <c r="AC927" s="293"/>
      <c r="AD927" s="293"/>
    </row>
    <row r="928" spans="1:30" ht="14.25" customHeight="1" x14ac:dyDescent="0.3">
      <c r="A928" s="293"/>
      <c r="B928" s="293"/>
      <c r="C928" s="293"/>
      <c r="D928" s="293"/>
      <c r="E928" s="293"/>
      <c r="F928" s="293"/>
      <c r="G928" s="293"/>
      <c r="H928" s="293"/>
      <c r="I928" s="293"/>
      <c r="J928" s="293"/>
      <c r="K928" s="293"/>
      <c r="L928" s="293"/>
      <c r="M928" s="293"/>
      <c r="N928" s="293"/>
      <c r="O928" s="293"/>
      <c r="P928" s="293"/>
      <c r="Q928" s="293"/>
      <c r="R928" s="293"/>
      <c r="S928" s="293"/>
      <c r="T928" s="293"/>
      <c r="U928" s="293"/>
      <c r="V928" s="293"/>
      <c r="W928" s="293"/>
      <c r="X928" s="293"/>
      <c r="Y928" s="293"/>
      <c r="Z928" s="293"/>
      <c r="AA928" s="293"/>
      <c r="AB928" s="293"/>
      <c r="AC928" s="293"/>
      <c r="AD928" s="293"/>
    </row>
    <row r="929" spans="1:30" ht="14.25" customHeight="1" x14ac:dyDescent="0.3">
      <c r="A929" s="293"/>
      <c r="B929" s="293"/>
      <c r="C929" s="293"/>
      <c r="D929" s="293"/>
      <c r="E929" s="293"/>
      <c r="F929" s="293"/>
      <c r="G929" s="293"/>
      <c r="H929" s="293"/>
      <c r="I929" s="293"/>
      <c r="J929" s="293"/>
      <c r="K929" s="293"/>
      <c r="L929" s="293"/>
      <c r="M929" s="293"/>
      <c r="N929" s="293"/>
      <c r="O929" s="293"/>
      <c r="P929" s="293"/>
      <c r="Q929" s="293"/>
      <c r="R929" s="293"/>
      <c r="S929" s="293"/>
      <c r="T929" s="293"/>
      <c r="U929" s="293"/>
      <c r="V929" s="293"/>
      <c r="W929" s="293"/>
      <c r="X929" s="293"/>
      <c r="Y929" s="293"/>
      <c r="Z929" s="293"/>
      <c r="AA929" s="293"/>
      <c r="AB929" s="293"/>
      <c r="AC929" s="293"/>
      <c r="AD929" s="293"/>
    </row>
    <row r="930" spans="1:30" ht="14.25" customHeight="1" x14ac:dyDescent="0.3">
      <c r="A930" s="293"/>
      <c r="B930" s="293"/>
      <c r="C930" s="293"/>
      <c r="D930" s="293"/>
      <c r="E930" s="293"/>
      <c r="F930" s="293"/>
      <c r="G930" s="293"/>
      <c r="H930" s="293"/>
      <c r="I930" s="293"/>
      <c r="J930" s="293"/>
      <c r="K930" s="293"/>
      <c r="L930" s="293"/>
      <c r="M930" s="293"/>
      <c r="N930" s="293"/>
      <c r="O930" s="293"/>
      <c r="P930" s="293"/>
      <c r="Q930" s="293"/>
      <c r="R930" s="293"/>
      <c r="S930" s="293"/>
      <c r="T930" s="293"/>
      <c r="U930" s="293"/>
      <c r="V930" s="293"/>
      <c r="W930" s="293"/>
      <c r="X930" s="293"/>
      <c r="Y930" s="293"/>
      <c r="Z930" s="293"/>
      <c r="AA930" s="293"/>
      <c r="AB930" s="293"/>
      <c r="AC930" s="293"/>
      <c r="AD930" s="293"/>
    </row>
    <row r="931" spans="1:30" ht="14.25" customHeight="1" x14ac:dyDescent="0.3">
      <c r="A931" s="293"/>
      <c r="B931" s="293"/>
      <c r="C931" s="293"/>
      <c r="D931" s="293"/>
      <c r="E931" s="293"/>
      <c r="F931" s="293"/>
      <c r="G931" s="293"/>
      <c r="H931" s="293"/>
      <c r="I931" s="293"/>
      <c r="J931" s="293"/>
      <c r="K931" s="293"/>
      <c r="L931" s="293"/>
      <c r="M931" s="293"/>
      <c r="N931" s="293"/>
      <c r="O931" s="293"/>
      <c r="P931" s="293"/>
      <c r="Q931" s="293"/>
      <c r="R931" s="293"/>
      <c r="S931" s="293"/>
      <c r="T931" s="293"/>
      <c r="U931" s="293"/>
      <c r="V931" s="293"/>
      <c r="W931" s="293"/>
      <c r="X931" s="293"/>
      <c r="Y931" s="293"/>
      <c r="Z931" s="293"/>
      <c r="AA931" s="293"/>
      <c r="AB931" s="293"/>
      <c r="AC931" s="293"/>
      <c r="AD931" s="293"/>
    </row>
    <row r="932" spans="1:30" ht="14.25" customHeight="1" x14ac:dyDescent="0.3">
      <c r="A932" s="293"/>
      <c r="B932" s="293"/>
      <c r="C932" s="293"/>
      <c r="D932" s="293"/>
      <c r="E932" s="293"/>
      <c r="F932" s="293"/>
      <c r="G932" s="293"/>
      <c r="H932" s="293"/>
      <c r="I932" s="293"/>
      <c r="J932" s="293"/>
      <c r="K932" s="293"/>
      <c r="L932" s="293"/>
      <c r="M932" s="293"/>
      <c r="N932" s="293"/>
      <c r="O932" s="293"/>
      <c r="P932" s="293"/>
      <c r="Q932" s="293"/>
      <c r="R932" s="293"/>
      <c r="S932" s="293"/>
      <c r="T932" s="293"/>
      <c r="U932" s="293"/>
      <c r="V932" s="293"/>
      <c r="W932" s="293"/>
      <c r="X932" s="293"/>
      <c r="Y932" s="293"/>
      <c r="Z932" s="293"/>
      <c r="AA932" s="293"/>
      <c r="AB932" s="293"/>
      <c r="AC932" s="293"/>
      <c r="AD932" s="293"/>
    </row>
    <row r="933" spans="1:30" ht="14.25" customHeight="1" x14ac:dyDescent="0.3">
      <c r="A933" s="293"/>
      <c r="B933" s="293"/>
      <c r="C933" s="293"/>
      <c r="D933" s="293"/>
      <c r="E933" s="293"/>
      <c r="F933" s="293"/>
      <c r="G933" s="293"/>
      <c r="H933" s="293"/>
      <c r="I933" s="293"/>
      <c r="J933" s="293"/>
      <c r="K933" s="293"/>
      <c r="L933" s="293"/>
      <c r="M933" s="293"/>
      <c r="N933" s="293"/>
      <c r="O933" s="293"/>
      <c r="P933" s="293"/>
      <c r="Q933" s="293"/>
      <c r="R933" s="293"/>
      <c r="S933" s="293"/>
      <c r="T933" s="293"/>
      <c r="U933" s="293"/>
      <c r="V933" s="293"/>
      <c r="W933" s="293"/>
      <c r="X933" s="293"/>
      <c r="Y933" s="293"/>
      <c r="Z933" s="293"/>
      <c r="AA933" s="293"/>
      <c r="AB933" s="293"/>
      <c r="AC933" s="293"/>
      <c r="AD933" s="293"/>
    </row>
    <row r="934" spans="1:30" ht="14.25" customHeight="1" x14ac:dyDescent="0.3">
      <c r="A934" s="293"/>
      <c r="B934" s="293"/>
      <c r="C934" s="293"/>
      <c r="D934" s="293"/>
      <c r="E934" s="293"/>
      <c r="F934" s="293"/>
      <c r="G934" s="293"/>
      <c r="H934" s="293"/>
      <c r="I934" s="293"/>
      <c r="J934" s="293"/>
      <c r="K934" s="293"/>
      <c r="L934" s="293"/>
      <c r="M934" s="293"/>
      <c r="N934" s="293"/>
      <c r="O934" s="293"/>
      <c r="P934" s="293"/>
      <c r="Q934" s="293"/>
      <c r="R934" s="293"/>
      <c r="S934" s="293"/>
      <c r="T934" s="293"/>
      <c r="U934" s="293"/>
      <c r="V934" s="293"/>
      <c r="W934" s="293"/>
      <c r="X934" s="293"/>
      <c r="Y934" s="293"/>
      <c r="Z934" s="293"/>
      <c r="AA934" s="293"/>
      <c r="AB934" s="293"/>
      <c r="AC934" s="293"/>
      <c r="AD934" s="293"/>
    </row>
    <row r="935" spans="1:30" ht="14.25" customHeight="1" x14ac:dyDescent="0.3">
      <c r="A935" s="293"/>
      <c r="B935" s="293"/>
      <c r="C935" s="293"/>
      <c r="D935" s="293"/>
      <c r="E935" s="293"/>
      <c r="F935" s="293"/>
      <c r="G935" s="293"/>
      <c r="H935" s="293"/>
      <c r="I935" s="293"/>
      <c r="J935" s="293"/>
      <c r="K935" s="293"/>
      <c r="L935" s="293"/>
      <c r="M935" s="293"/>
      <c r="N935" s="293"/>
      <c r="O935" s="293"/>
      <c r="P935" s="293"/>
      <c r="Q935" s="293"/>
      <c r="R935" s="293"/>
      <c r="S935" s="293"/>
      <c r="T935" s="293"/>
      <c r="U935" s="293"/>
      <c r="V935" s="293"/>
      <c r="W935" s="293"/>
      <c r="X935" s="293"/>
      <c r="Y935" s="293"/>
      <c r="Z935" s="293"/>
      <c r="AA935" s="293"/>
      <c r="AB935" s="293"/>
      <c r="AC935" s="293"/>
      <c r="AD935" s="293"/>
    </row>
    <row r="936" spans="1:30" ht="14.25" customHeight="1" x14ac:dyDescent="0.3">
      <c r="A936" s="293"/>
      <c r="B936" s="293"/>
      <c r="C936" s="293"/>
      <c r="D936" s="293"/>
      <c r="E936" s="293"/>
      <c r="F936" s="293"/>
      <c r="G936" s="293"/>
      <c r="H936" s="293"/>
      <c r="I936" s="293"/>
      <c r="J936" s="293"/>
      <c r="K936" s="293"/>
      <c r="L936" s="293"/>
      <c r="M936" s="293"/>
      <c r="N936" s="293"/>
      <c r="O936" s="293"/>
      <c r="P936" s="293"/>
      <c r="Q936" s="293"/>
      <c r="R936" s="293"/>
      <c r="S936" s="293"/>
      <c r="T936" s="293"/>
      <c r="U936" s="293"/>
      <c r="V936" s="293"/>
      <c r="W936" s="293"/>
      <c r="X936" s="293"/>
      <c r="Y936" s="293"/>
      <c r="Z936" s="293"/>
      <c r="AA936" s="293"/>
      <c r="AB936" s="293"/>
      <c r="AC936" s="293"/>
      <c r="AD936" s="293"/>
    </row>
    <row r="937" spans="1:30" ht="14.25" customHeight="1" x14ac:dyDescent="0.3">
      <c r="A937" s="293"/>
      <c r="B937" s="293"/>
      <c r="C937" s="293"/>
      <c r="D937" s="293"/>
      <c r="E937" s="293"/>
      <c r="F937" s="293"/>
      <c r="G937" s="293"/>
      <c r="H937" s="293"/>
      <c r="I937" s="293"/>
      <c r="J937" s="293"/>
      <c r="K937" s="293"/>
      <c r="L937" s="293"/>
      <c r="M937" s="293"/>
      <c r="N937" s="293"/>
      <c r="O937" s="293"/>
      <c r="P937" s="293"/>
      <c r="Q937" s="293"/>
      <c r="R937" s="293"/>
      <c r="S937" s="293"/>
      <c r="T937" s="293"/>
      <c r="U937" s="293"/>
      <c r="V937" s="293"/>
      <c r="W937" s="293"/>
      <c r="X937" s="293"/>
      <c r="Y937" s="293"/>
      <c r="Z937" s="293"/>
      <c r="AA937" s="293"/>
      <c r="AB937" s="293"/>
      <c r="AC937" s="293"/>
      <c r="AD937" s="293"/>
    </row>
    <row r="938" spans="1:30" ht="14.25" customHeight="1" x14ac:dyDescent="0.3">
      <c r="A938" s="293"/>
      <c r="B938" s="293"/>
      <c r="C938" s="293"/>
      <c r="D938" s="293"/>
      <c r="E938" s="293"/>
      <c r="F938" s="293"/>
      <c r="G938" s="293"/>
      <c r="H938" s="293"/>
      <c r="I938" s="293"/>
      <c r="J938" s="293"/>
      <c r="K938" s="293"/>
      <c r="L938" s="293"/>
      <c r="M938" s="293"/>
      <c r="N938" s="293"/>
      <c r="O938" s="293"/>
      <c r="P938" s="293"/>
      <c r="Q938" s="293"/>
      <c r="R938" s="293"/>
      <c r="S938" s="293"/>
      <c r="T938" s="293"/>
      <c r="U938" s="293"/>
      <c r="V938" s="293"/>
      <c r="W938" s="293"/>
      <c r="X938" s="293"/>
      <c r="Y938" s="293"/>
      <c r="Z938" s="293"/>
      <c r="AA938" s="293"/>
      <c r="AB938" s="293"/>
      <c r="AC938" s="293"/>
      <c r="AD938" s="293"/>
    </row>
    <row r="939" spans="1:30" ht="14.25" customHeight="1" x14ac:dyDescent="0.3">
      <c r="A939" s="293"/>
      <c r="B939" s="293"/>
      <c r="C939" s="293"/>
      <c r="D939" s="293"/>
      <c r="E939" s="293"/>
      <c r="F939" s="293"/>
      <c r="G939" s="293"/>
      <c r="H939" s="293"/>
      <c r="I939" s="293"/>
      <c r="J939" s="293"/>
      <c r="K939" s="293"/>
      <c r="L939" s="293"/>
      <c r="M939" s="293"/>
      <c r="N939" s="293"/>
      <c r="O939" s="293"/>
      <c r="P939" s="293"/>
      <c r="Q939" s="293"/>
      <c r="R939" s="293"/>
      <c r="S939" s="293"/>
      <c r="T939" s="293"/>
      <c r="U939" s="293"/>
      <c r="V939" s="293"/>
      <c r="W939" s="293"/>
      <c r="X939" s="293"/>
      <c r="Y939" s="293"/>
      <c r="Z939" s="293"/>
      <c r="AA939" s="293"/>
      <c r="AB939" s="293"/>
      <c r="AC939" s="293"/>
      <c r="AD939" s="293"/>
    </row>
    <row r="940" spans="1:30" ht="14.25" customHeight="1" x14ac:dyDescent="0.3">
      <c r="A940" s="293"/>
      <c r="B940" s="293"/>
      <c r="C940" s="293"/>
      <c r="D940" s="293"/>
      <c r="E940" s="293"/>
      <c r="F940" s="293"/>
      <c r="G940" s="293"/>
      <c r="H940" s="293"/>
      <c r="I940" s="293"/>
      <c r="J940" s="293"/>
      <c r="K940" s="293"/>
      <c r="L940" s="293"/>
      <c r="M940" s="293"/>
      <c r="N940" s="293"/>
      <c r="O940" s="293"/>
      <c r="P940" s="293"/>
      <c r="Q940" s="293"/>
      <c r="R940" s="293"/>
      <c r="S940" s="293"/>
      <c r="T940" s="293"/>
      <c r="U940" s="293"/>
      <c r="V940" s="293"/>
      <c r="W940" s="293"/>
      <c r="X940" s="293"/>
      <c r="Y940" s="293"/>
      <c r="Z940" s="293"/>
      <c r="AA940" s="293"/>
      <c r="AB940" s="293"/>
      <c r="AC940" s="293"/>
      <c r="AD940" s="293"/>
    </row>
    <row r="941" spans="1:30" ht="14.25" customHeight="1" x14ac:dyDescent="0.3">
      <c r="A941" s="293"/>
      <c r="B941" s="293"/>
      <c r="C941" s="293"/>
      <c r="D941" s="293"/>
      <c r="E941" s="293"/>
      <c r="F941" s="293"/>
      <c r="G941" s="293"/>
      <c r="H941" s="293"/>
      <c r="I941" s="293"/>
      <c r="J941" s="293"/>
      <c r="K941" s="293"/>
      <c r="L941" s="293"/>
      <c r="M941" s="293"/>
      <c r="N941" s="293"/>
      <c r="O941" s="293"/>
      <c r="P941" s="293"/>
      <c r="Q941" s="293"/>
      <c r="R941" s="293"/>
      <c r="S941" s="293"/>
      <c r="T941" s="293"/>
      <c r="U941" s="293"/>
      <c r="V941" s="293"/>
      <c r="W941" s="293"/>
      <c r="X941" s="293"/>
      <c r="Y941" s="293"/>
      <c r="Z941" s="293"/>
      <c r="AA941" s="293"/>
      <c r="AB941" s="293"/>
      <c r="AC941" s="293"/>
      <c r="AD941" s="293"/>
    </row>
    <row r="942" spans="1:30" ht="14.25" customHeight="1" x14ac:dyDescent="0.3">
      <c r="A942" s="293"/>
      <c r="B942" s="293"/>
      <c r="C942" s="293"/>
      <c r="D942" s="293"/>
      <c r="E942" s="293"/>
      <c r="F942" s="293"/>
      <c r="G942" s="293"/>
      <c r="H942" s="293"/>
      <c r="I942" s="293"/>
      <c r="J942" s="293"/>
      <c r="K942" s="293"/>
      <c r="L942" s="293"/>
      <c r="M942" s="293"/>
      <c r="N942" s="293"/>
      <c r="O942" s="293"/>
      <c r="P942" s="293"/>
      <c r="Q942" s="293"/>
      <c r="R942" s="293"/>
      <c r="S942" s="293"/>
      <c r="T942" s="293"/>
      <c r="U942" s="293"/>
      <c r="V942" s="293"/>
      <c r="W942" s="293"/>
      <c r="X942" s="293"/>
      <c r="Y942" s="293"/>
      <c r="Z942" s="293"/>
      <c r="AA942" s="293"/>
      <c r="AB942" s="293"/>
      <c r="AC942" s="293"/>
      <c r="AD942" s="293"/>
    </row>
    <row r="943" spans="1:30" ht="14.25" customHeight="1" x14ac:dyDescent="0.3">
      <c r="A943" s="293"/>
      <c r="B943" s="293"/>
      <c r="C943" s="293"/>
      <c r="D943" s="293"/>
      <c r="E943" s="293"/>
      <c r="F943" s="293"/>
      <c r="G943" s="293"/>
      <c r="H943" s="293"/>
      <c r="I943" s="293"/>
      <c r="J943" s="293"/>
      <c r="K943" s="293"/>
      <c r="L943" s="293"/>
      <c r="M943" s="293"/>
      <c r="N943" s="293"/>
      <c r="O943" s="293"/>
      <c r="P943" s="293"/>
      <c r="Q943" s="293"/>
      <c r="R943" s="293"/>
      <c r="S943" s="293"/>
      <c r="T943" s="293"/>
      <c r="U943" s="293"/>
      <c r="V943" s="293"/>
      <c r="W943" s="293"/>
      <c r="X943" s="293"/>
      <c r="Y943" s="293"/>
      <c r="Z943" s="293"/>
      <c r="AA943" s="293"/>
      <c r="AB943" s="293"/>
      <c r="AC943" s="293"/>
      <c r="AD943" s="293"/>
    </row>
    <row r="944" spans="1:30" ht="14.25" customHeight="1" x14ac:dyDescent="0.3">
      <c r="A944" s="293"/>
      <c r="B944" s="293"/>
      <c r="C944" s="293"/>
      <c r="D944" s="293"/>
      <c r="E944" s="293"/>
      <c r="F944" s="293"/>
      <c r="G944" s="293"/>
      <c r="H944" s="293"/>
      <c r="I944" s="293"/>
      <c r="J944" s="293"/>
      <c r="K944" s="293"/>
      <c r="L944" s="293"/>
      <c r="M944" s="293"/>
      <c r="N944" s="293"/>
      <c r="O944" s="293"/>
      <c r="P944" s="293"/>
      <c r="Q944" s="293"/>
      <c r="R944" s="293"/>
      <c r="S944" s="293"/>
      <c r="T944" s="293"/>
      <c r="U944" s="293"/>
      <c r="V944" s="293"/>
      <c r="W944" s="293"/>
      <c r="X944" s="293"/>
      <c r="Y944" s="293"/>
      <c r="Z944" s="293"/>
      <c r="AA944" s="293"/>
      <c r="AB944" s="293"/>
      <c r="AC944" s="293"/>
      <c r="AD944" s="293"/>
    </row>
    <row r="945" spans="1:30" ht="14.25" customHeight="1" x14ac:dyDescent="0.3">
      <c r="A945" s="293"/>
      <c r="B945" s="293"/>
      <c r="C945" s="293"/>
      <c r="D945" s="293"/>
      <c r="E945" s="293"/>
      <c r="F945" s="293"/>
      <c r="G945" s="293"/>
      <c r="H945" s="293"/>
      <c r="I945" s="293"/>
      <c r="J945" s="293"/>
      <c r="K945" s="293"/>
      <c r="L945" s="293"/>
      <c r="M945" s="293"/>
      <c r="N945" s="293"/>
      <c r="O945" s="293"/>
      <c r="P945" s="293"/>
      <c r="Q945" s="293"/>
      <c r="R945" s="293"/>
      <c r="S945" s="293"/>
      <c r="T945" s="293"/>
      <c r="U945" s="293"/>
      <c r="V945" s="293"/>
      <c r="W945" s="293"/>
      <c r="X945" s="293"/>
      <c r="Y945" s="293"/>
      <c r="Z945" s="293"/>
      <c r="AA945" s="293"/>
      <c r="AB945" s="293"/>
      <c r="AC945" s="293"/>
      <c r="AD945" s="293"/>
    </row>
    <row r="946" spans="1:30" ht="14.25" customHeight="1" x14ac:dyDescent="0.3">
      <c r="A946" s="293"/>
      <c r="B946" s="293"/>
      <c r="C946" s="293"/>
      <c r="D946" s="293"/>
      <c r="E946" s="293"/>
      <c r="F946" s="293"/>
      <c r="G946" s="293"/>
      <c r="H946" s="293"/>
      <c r="I946" s="293"/>
      <c r="J946" s="293"/>
      <c r="K946" s="293"/>
      <c r="L946" s="293"/>
      <c r="M946" s="293"/>
      <c r="N946" s="293"/>
      <c r="O946" s="293"/>
      <c r="P946" s="293"/>
      <c r="Q946" s="293"/>
      <c r="R946" s="293"/>
      <c r="S946" s="293"/>
      <c r="T946" s="293"/>
      <c r="U946" s="293"/>
      <c r="V946" s="293"/>
      <c r="W946" s="293"/>
      <c r="X946" s="293"/>
      <c r="Y946" s="293"/>
      <c r="Z946" s="293"/>
      <c r="AA946" s="293"/>
      <c r="AB946" s="293"/>
      <c r="AC946" s="293"/>
      <c r="AD946" s="293"/>
    </row>
    <row r="947" spans="1:30" ht="14.25" customHeight="1" x14ac:dyDescent="0.3">
      <c r="A947" s="293"/>
      <c r="B947" s="293"/>
      <c r="C947" s="293"/>
      <c r="D947" s="293"/>
      <c r="E947" s="293"/>
      <c r="F947" s="293"/>
      <c r="G947" s="293"/>
      <c r="H947" s="293"/>
      <c r="I947" s="293"/>
      <c r="J947" s="293"/>
      <c r="K947" s="293"/>
      <c r="L947" s="293"/>
      <c r="M947" s="293"/>
      <c r="N947" s="293"/>
      <c r="O947" s="293"/>
      <c r="P947" s="293"/>
      <c r="Q947" s="293"/>
      <c r="R947" s="293"/>
      <c r="S947" s="293"/>
      <c r="T947" s="293"/>
      <c r="U947" s="293"/>
      <c r="V947" s="293"/>
      <c r="W947" s="293"/>
      <c r="X947" s="293"/>
      <c r="Y947" s="293"/>
      <c r="Z947" s="293"/>
      <c r="AA947" s="293"/>
      <c r="AB947" s="293"/>
      <c r="AC947" s="293"/>
      <c r="AD947" s="293"/>
    </row>
    <row r="948" spans="1:30" ht="14.25" customHeight="1" x14ac:dyDescent="0.3">
      <c r="A948" s="293"/>
      <c r="B948" s="293"/>
      <c r="C948" s="293"/>
      <c r="D948" s="293"/>
      <c r="E948" s="293"/>
      <c r="F948" s="293"/>
      <c r="G948" s="293"/>
      <c r="H948" s="293"/>
      <c r="I948" s="293"/>
      <c r="J948" s="293"/>
      <c r="K948" s="293"/>
      <c r="L948" s="293"/>
      <c r="M948" s="293"/>
      <c r="N948" s="293"/>
      <c r="O948" s="293"/>
      <c r="P948" s="293"/>
      <c r="Q948" s="293"/>
      <c r="R948" s="293"/>
      <c r="S948" s="293"/>
      <c r="T948" s="293"/>
      <c r="U948" s="293"/>
      <c r="V948" s="293"/>
      <c r="W948" s="293"/>
      <c r="X948" s="293"/>
      <c r="Y948" s="293"/>
      <c r="Z948" s="293"/>
      <c r="AA948" s="293"/>
      <c r="AB948" s="293"/>
      <c r="AC948" s="293"/>
      <c r="AD948" s="293"/>
    </row>
    <row r="949" spans="1:30" ht="14.25" customHeight="1" x14ac:dyDescent="0.3">
      <c r="A949" s="293"/>
      <c r="B949" s="293"/>
      <c r="C949" s="293"/>
      <c r="D949" s="293"/>
      <c r="E949" s="293"/>
      <c r="F949" s="293"/>
      <c r="G949" s="293"/>
      <c r="H949" s="293"/>
      <c r="I949" s="293"/>
      <c r="J949" s="293"/>
      <c r="K949" s="293"/>
      <c r="L949" s="293"/>
      <c r="M949" s="293"/>
      <c r="N949" s="293"/>
      <c r="O949" s="293"/>
      <c r="P949" s="293"/>
      <c r="Q949" s="293"/>
      <c r="R949" s="293"/>
      <c r="S949" s="293"/>
      <c r="T949" s="293"/>
      <c r="U949" s="293"/>
      <c r="V949" s="293"/>
      <c r="W949" s="293"/>
      <c r="X949" s="293"/>
      <c r="Y949" s="293"/>
      <c r="Z949" s="293"/>
      <c r="AA949" s="293"/>
      <c r="AB949" s="293"/>
      <c r="AC949" s="293"/>
      <c r="AD949" s="293"/>
    </row>
    <row r="950" spans="1:30" ht="14.25" customHeight="1" x14ac:dyDescent="0.3">
      <c r="A950" s="293"/>
      <c r="B950" s="293"/>
      <c r="C950" s="293"/>
      <c r="D950" s="293"/>
      <c r="E950" s="293"/>
      <c r="F950" s="293"/>
      <c r="G950" s="293"/>
      <c r="H950" s="293"/>
      <c r="I950" s="293"/>
      <c r="J950" s="293"/>
      <c r="K950" s="293"/>
      <c r="L950" s="293"/>
      <c r="M950" s="293"/>
      <c r="N950" s="293"/>
      <c r="O950" s="293"/>
      <c r="P950" s="293"/>
      <c r="Q950" s="293"/>
      <c r="R950" s="293"/>
      <c r="S950" s="293"/>
      <c r="T950" s="293"/>
      <c r="U950" s="293"/>
      <c r="V950" s="293"/>
      <c r="W950" s="293"/>
      <c r="X950" s="293"/>
      <c r="Y950" s="293"/>
      <c r="Z950" s="293"/>
      <c r="AA950" s="293"/>
      <c r="AB950" s="293"/>
      <c r="AC950" s="293"/>
      <c r="AD950" s="293"/>
    </row>
    <row r="951" spans="1:30" ht="14.25" customHeight="1" x14ac:dyDescent="0.3">
      <c r="A951" s="293"/>
      <c r="B951" s="293"/>
      <c r="C951" s="293"/>
      <c r="D951" s="293"/>
      <c r="E951" s="293"/>
      <c r="F951" s="293"/>
      <c r="G951" s="293"/>
      <c r="H951" s="293"/>
      <c r="I951" s="293"/>
      <c r="J951" s="293"/>
      <c r="K951" s="293"/>
      <c r="L951" s="293"/>
      <c r="M951" s="293"/>
      <c r="N951" s="293"/>
      <c r="O951" s="293"/>
      <c r="P951" s="293"/>
      <c r="Q951" s="293"/>
      <c r="R951" s="293"/>
      <c r="S951" s="293"/>
      <c r="T951" s="293"/>
      <c r="U951" s="293"/>
      <c r="V951" s="293"/>
      <c r="W951" s="293"/>
      <c r="X951" s="293"/>
      <c r="Y951" s="293"/>
      <c r="Z951" s="293"/>
      <c r="AA951" s="293"/>
      <c r="AB951" s="293"/>
      <c r="AC951" s="293"/>
      <c r="AD951" s="293"/>
    </row>
    <row r="952" spans="1:30" ht="14.25" customHeight="1" x14ac:dyDescent="0.3">
      <c r="A952" s="293"/>
      <c r="B952" s="293"/>
      <c r="C952" s="293"/>
      <c r="D952" s="293"/>
      <c r="E952" s="293"/>
      <c r="F952" s="293"/>
      <c r="G952" s="293"/>
      <c r="H952" s="293"/>
      <c r="I952" s="293"/>
      <c r="J952" s="293"/>
      <c r="K952" s="293"/>
      <c r="L952" s="293"/>
      <c r="M952" s="293"/>
      <c r="N952" s="293"/>
      <c r="O952" s="293"/>
      <c r="P952" s="293"/>
      <c r="Q952" s="293"/>
      <c r="R952" s="293"/>
      <c r="S952" s="293"/>
      <c r="T952" s="293"/>
      <c r="U952" s="293"/>
      <c r="V952" s="293"/>
      <c r="W952" s="293"/>
      <c r="X952" s="293"/>
      <c r="Y952" s="293"/>
      <c r="Z952" s="293"/>
      <c r="AA952" s="293"/>
      <c r="AB952" s="293"/>
      <c r="AC952" s="293"/>
      <c r="AD952" s="293"/>
    </row>
    <row r="953" spans="1:30" ht="14.25" customHeight="1" x14ac:dyDescent="0.3">
      <c r="A953" s="293"/>
      <c r="B953" s="293"/>
      <c r="C953" s="293"/>
      <c r="D953" s="293"/>
      <c r="E953" s="293"/>
      <c r="F953" s="293"/>
      <c r="G953" s="293"/>
      <c r="H953" s="293"/>
      <c r="I953" s="293"/>
      <c r="J953" s="293"/>
      <c r="K953" s="293"/>
      <c r="L953" s="293"/>
      <c r="M953" s="293"/>
      <c r="N953" s="293"/>
      <c r="O953" s="293"/>
      <c r="P953" s="293"/>
      <c r="Q953" s="293"/>
      <c r="R953" s="293"/>
      <c r="S953" s="293"/>
      <c r="T953" s="293"/>
      <c r="U953" s="293"/>
      <c r="V953" s="293"/>
      <c r="W953" s="293"/>
      <c r="X953" s="293"/>
      <c r="Y953" s="293"/>
      <c r="Z953" s="293"/>
      <c r="AA953" s="293"/>
      <c r="AB953" s="293"/>
      <c r="AC953" s="293"/>
      <c r="AD953" s="293"/>
    </row>
    <row r="954" spans="1:30" ht="14.25" customHeight="1" x14ac:dyDescent="0.3">
      <c r="A954" s="293"/>
      <c r="B954" s="293"/>
      <c r="C954" s="293"/>
      <c r="D954" s="293"/>
      <c r="E954" s="293"/>
      <c r="F954" s="293"/>
      <c r="G954" s="293"/>
      <c r="H954" s="293"/>
      <c r="I954" s="293"/>
      <c r="J954" s="293"/>
      <c r="K954" s="293"/>
      <c r="L954" s="293"/>
      <c r="M954" s="293"/>
      <c r="N954" s="293"/>
      <c r="O954" s="293"/>
      <c r="P954" s="293"/>
      <c r="Q954" s="293"/>
      <c r="R954" s="293"/>
      <c r="S954" s="293"/>
      <c r="T954" s="293"/>
      <c r="U954" s="293"/>
      <c r="V954" s="293"/>
      <c r="W954" s="293"/>
      <c r="X954" s="293"/>
      <c r="Y954" s="293"/>
      <c r="Z954" s="293"/>
      <c r="AA954" s="293"/>
      <c r="AB954" s="293"/>
      <c r="AC954" s="293"/>
      <c r="AD954" s="293"/>
    </row>
    <row r="955" spans="1:30" ht="14.25" customHeight="1" x14ac:dyDescent="0.3">
      <c r="A955" s="293"/>
      <c r="B955" s="293"/>
      <c r="C955" s="293"/>
      <c r="D955" s="293"/>
      <c r="E955" s="293"/>
      <c r="F955" s="293"/>
      <c r="G955" s="293"/>
      <c r="H955" s="293"/>
      <c r="I955" s="293"/>
      <c r="J955" s="293"/>
      <c r="K955" s="293"/>
      <c r="L955" s="293"/>
      <c r="M955" s="293"/>
      <c r="N955" s="293"/>
      <c r="O955" s="293"/>
      <c r="P955" s="293"/>
      <c r="Q955" s="293"/>
      <c r="R955" s="293"/>
      <c r="S955" s="293"/>
      <c r="T955" s="293"/>
      <c r="U955" s="293"/>
      <c r="V955" s="293"/>
      <c r="W955" s="293"/>
      <c r="X955" s="293"/>
      <c r="Y955" s="293"/>
      <c r="Z955" s="293"/>
      <c r="AA955" s="293"/>
      <c r="AB955" s="293"/>
      <c r="AC955" s="293"/>
      <c r="AD955" s="293"/>
    </row>
    <row r="956" spans="1:30" ht="14.25" customHeight="1" x14ac:dyDescent="0.3">
      <c r="A956" s="293"/>
      <c r="B956" s="293"/>
      <c r="C956" s="293"/>
      <c r="D956" s="293"/>
      <c r="E956" s="293"/>
      <c r="F956" s="293"/>
      <c r="G956" s="293"/>
      <c r="H956" s="293"/>
      <c r="I956" s="293"/>
      <c r="J956" s="293"/>
      <c r="K956" s="293"/>
      <c r="L956" s="293"/>
      <c r="M956" s="293"/>
      <c r="N956" s="293"/>
      <c r="O956" s="293"/>
      <c r="P956" s="293"/>
      <c r="Q956" s="293"/>
      <c r="R956" s="293"/>
      <c r="S956" s="293"/>
      <c r="T956" s="293"/>
      <c r="U956" s="293"/>
      <c r="V956" s="293"/>
      <c r="W956" s="293"/>
      <c r="X956" s="293"/>
      <c r="Y956" s="293"/>
      <c r="Z956" s="293"/>
      <c r="AA956" s="293"/>
      <c r="AB956" s="293"/>
      <c r="AC956" s="293"/>
      <c r="AD956" s="293"/>
    </row>
    <row r="957" spans="1:30" ht="14.25" customHeight="1" x14ac:dyDescent="0.3">
      <c r="A957" s="293"/>
      <c r="B957" s="293"/>
      <c r="C957" s="293"/>
      <c r="D957" s="293"/>
      <c r="E957" s="293"/>
      <c r="F957" s="293"/>
      <c r="G957" s="293"/>
      <c r="H957" s="293"/>
      <c r="I957" s="293"/>
      <c r="J957" s="293"/>
      <c r="K957" s="293"/>
      <c r="L957" s="293"/>
      <c r="M957" s="293"/>
      <c r="N957" s="293"/>
      <c r="O957" s="293"/>
      <c r="P957" s="293"/>
      <c r="Q957" s="293"/>
      <c r="R957" s="293"/>
      <c r="S957" s="293"/>
      <c r="T957" s="293"/>
      <c r="U957" s="293"/>
      <c r="V957" s="293"/>
      <c r="W957" s="293"/>
      <c r="X957" s="293"/>
      <c r="Y957" s="293"/>
      <c r="Z957" s="293"/>
      <c r="AA957" s="293"/>
      <c r="AB957" s="293"/>
      <c r="AC957" s="293"/>
      <c r="AD957" s="293"/>
    </row>
    <row r="958" spans="1:30" ht="14.25" customHeight="1" x14ac:dyDescent="0.3">
      <c r="A958" s="293"/>
      <c r="B958" s="293"/>
      <c r="C958" s="293"/>
      <c r="D958" s="293"/>
      <c r="E958" s="293"/>
      <c r="F958" s="293"/>
      <c r="G958" s="293"/>
      <c r="H958" s="293"/>
      <c r="I958" s="293"/>
      <c r="J958" s="293"/>
      <c r="K958" s="293"/>
      <c r="L958" s="293"/>
      <c r="M958" s="293"/>
      <c r="N958" s="293"/>
      <c r="O958" s="293"/>
      <c r="P958" s="293"/>
      <c r="Q958" s="293"/>
      <c r="R958" s="293"/>
      <c r="S958" s="293"/>
      <c r="T958" s="293"/>
      <c r="U958" s="293"/>
      <c r="V958" s="293"/>
      <c r="W958" s="293"/>
      <c r="X958" s="293"/>
      <c r="Y958" s="293"/>
      <c r="Z958" s="293"/>
      <c r="AA958" s="293"/>
      <c r="AB958" s="293"/>
      <c r="AC958" s="293"/>
      <c r="AD958" s="293"/>
    </row>
    <row r="959" spans="1:30" ht="14.25" customHeight="1" x14ac:dyDescent="0.3">
      <c r="A959" s="293"/>
      <c r="B959" s="293"/>
      <c r="C959" s="293"/>
      <c r="D959" s="293"/>
      <c r="E959" s="293"/>
      <c r="F959" s="293"/>
      <c r="G959" s="293"/>
      <c r="H959" s="293"/>
      <c r="I959" s="293"/>
      <c r="J959" s="293"/>
      <c r="K959" s="293"/>
      <c r="L959" s="293"/>
      <c r="M959" s="293"/>
      <c r="N959" s="293"/>
      <c r="O959" s="293"/>
      <c r="P959" s="293"/>
      <c r="Q959" s="293"/>
      <c r="R959" s="293"/>
      <c r="S959" s="293"/>
      <c r="T959" s="293"/>
      <c r="U959" s="293"/>
      <c r="V959" s="293"/>
      <c r="W959" s="293"/>
      <c r="X959" s="293"/>
      <c r="Y959" s="293"/>
      <c r="Z959" s="293"/>
      <c r="AA959" s="293"/>
      <c r="AB959" s="293"/>
      <c r="AC959" s="293"/>
      <c r="AD959" s="293"/>
    </row>
    <row r="960" spans="1:30" ht="14.25" customHeight="1" x14ac:dyDescent="0.3">
      <c r="A960" s="293"/>
      <c r="B960" s="293"/>
      <c r="C960" s="293"/>
      <c r="D960" s="293"/>
      <c r="E960" s="293"/>
      <c r="F960" s="293"/>
      <c r="G960" s="293"/>
      <c r="H960" s="293"/>
      <c r="I960" s="293"/>
      <c r="J960" s="293"/>
      <c r="K960" s="293"/>
      <c r="L960" s="293"/>
      <c r="M960" s="293"/>
      <c r="N960" s="293"/>
      <c r="O960" s="293"/>
      <c r="P960" s="293"/>
      <c r="Q960" s="293"/>
      <c r="R960" s="293"/>
      <c r="S960" s="293"/>
      <c r="T960" s="293"/>
      <c r="U960" s="293"/>
      <c r="V960" s="293"/>
      <c r="W960" s="293"/>
      <c r="X960" s="293"/>
      <c r="Y960" s="293"/>
      <c r="Z960" s="293"/>
      <c r="AA960" s="293"/>
      <c r="AB960" s="293"/>
      <c r="AC960" s="293"/>
      <c r="AD960" s="293"/>
    </row>
    <row r="961" spans="1:30" ht="14.25" customHeight="1" x14ac:dyDescent="0.3">
      <c r="A961" s="293"/>
      <c r="B961" s="293"/>
      <c r="C961" s="293"/>
      <c r="D961" s="293"/>
      <c r="E961" s="293"/>
      <c r="F961" s="293"/>
      <c r="G961" s="293"/>
      <c r="H961" s="293"/>
      <c r="I961" s="293"/>
      <c r="J961" s="293"/>
      <c r="K961" s="293"/>
      <c r="L961" s="293"/>
      <c r="M961" s="293"/>
      <c r="N961" s="293"/>
      <c r="O961" s="293"/>
      <c r="P961" s="293"/>
      <c r="Q961" s="293"/>
      <c r="R961" s="293"/>
      <c r="S961" s="293"/>
      <c r="T961" s="293"/>
      <c r="U961" s="293"/>
      <c r="V961" s="293"/>
      <c r="W961" s="293"/>
      <c r="X961" s="293"/>
      <c r="Y961" s="293"/>
      <c r="Z961" s="293"/>
      <c r="AA961" s="293"/>
      <c r="AB961" s="293"/>
      <c r="AC961" s="293"/>
      <c r="AD961" s="293"/>
    </row>
    <row r="962" spans="1:30" ht="14.25" customHeight="1" x14ac:dyDescent="0.3">
      <c r="A962" s="293"/>
      <c r="B962" s="293"/>
      <c r="C962" s="293"/>
      <c r="D962" s="293"/>
      <c r="E962" s="293"/>
      <c r="F962" s="293"/>
      <c r="G962" s="293"/>
      <c r="H962" s="293"/>
      <c r="I962" s="293"/>
      <c r="J962" s="293"/>
      <c r="K962" s="293"/>
      <c r="L962" s="293"/>
      <c r="M962" s="293"/>
      <c r="N962" s="293"/>
      <c r="O962" s="293"/>
      <c r="P962" s="293"/>
      <c r="Q962" s="293"/>
      <c r="R962" s="293"/>
      <c r="S962" s="293"/>
      <c r="T962" s="293"/>
      <c r="U962" s="293"/>
      <c r="V962" s="293"/>
      <c r="W962" s="293"/>
      <c r="X962" s="293"/>
      <c r="Y962" s="293"/>
      <c r="Z962" s="293"/>
      <c r="AA962" s="293"/>
      <c r="AB962" s="293"/>
      <c r="AC962" s="293"/>
      <c r="AD962" s="293"/>
    </row>
    <row r="963" spans="1:30" ht="14.25" customHeight="1" x14ac:dyDescent="0.3">
      <c r="A963" s="293"/>
      <c r="B963" s="293"/>
      <c r="C963" s="293"/>
      <c r="D963" s="293"/>
      <c r="E963" s="293"/>
      <c r="F963" s="293"/>
      <c r="G963" s="293"/>
      <c r="H963" s="293"/>
      <c r="I963" s="293"/>
      <c r="J963" s="293"/>
      <c r="K963" s="293"/>
      <c r="L963" s="293"/>
      <c r="M963" s="293"/>
      <c r="N963" s="293"/>
      <c r="O963" s="293"/>
      <c r="P963" s="293"/>
      <c r="Q963" s="293"/>
      <c r="R963" s="293"/>
      <c r="S963" s="293"/>
      <c r="T963" s="293"/>
      <c r="U963" s="293"/>
      <c r="V963" s="293"/>
      <c r="W963" s="293"/>
      <c r="X963" s="293"/>
      <c r="Y963" s="293"/>
      <c r="Z963" s="293"/>
      <c r="AA963" s="293"/>
      <c r="AB963" s="293"/>
      <c r="AC963" s="293"/>
      <c r="AD963" s="293"/>
    </row>
    <row r="964" spans="1:30" ht="14.25" customHeight="1" x14ac:dyDescent="0.3">
      <c r="A964" s="293"/>
      <c r="B964" s="293"/>
      <c r="C964" s="293"/>
      <c r="D964" s="293"/>
      <c r="E964" s="293"/>
      <c r="F964" s="293"/>
      <c r="G964" s="293"/>
      <c r="H964" s="293"/>
      <c r="I964" s="293"/>
      <c r="J964" s="293"/>
      <c r="K964" s="293"/>
      <c r="L964" s="293"/>
      <c r="M964" s="293"/>
      <c r="N964" s="293"/>
      <c r="O964" s="293"/>
      <c r="P964" s="293"/>
      <c r="Q964" s="293"/>
      <c r="R964" s="293"/>
      <c r="S964" s="293"/>
      <c r="T964" s="293"/>
      <c r="U964" s="293"/>
      <c r="V964" s="293"/>
      <c r="W964" s="293"/>
      <c r="X964" s="293"/>
      <c r="Y964" s="293"/>
      <c r="Z964" s="293"/>
      <c r="AA964" s="293"/>
      <c r="AB964" s="293"/>
      <c r="AC964" s="293"/>
      <c r="AD964" s="293"/>
    </row>
    <row r="965" spans="1:30" ht="14.25" customHeight="1" x14ac:dyDescent="0.3">
      <c r="A965" s="293"/>
      <c r="B965" s="293"/>
      <c r="C965" s="293"/>
      <c r="D965" s="293"/>
      <c r="E965" s="293"/>
      <c r="F965" s="293"/>
      <c r="G965" s="293"/>
      <c r="H965" s="293"/>
      <c r="I965" s="293"/>
      <c r="J965" s="293"/>
      <c r="K965" s="293"/>
      <c r="L965" s="293"/>
      <c r="M965" s="293"/>
      <c r="N965" s="293"/>
      <c r="O965" s="293"/>
      <c r="P965" s="293"/>
      <c r="Q965" s="293"/>
      <c r="R965" s="293"/>
      <c r="S965" s="293"/>
      <c r="T965" s="293"/>
      <c r="U965" s="293"/>
      <c r="V965" s="293"/>
      <c r="W965" s="293"/>
      <c r="X965" s="293"/>
      <c r="Y965" s="293"/>
      <c r="Z965" s="293"/>
      <c r="AA965" s="293"/>
      <c r="AB965" s="293"/>
      <c r="AC965" s="293"/>
      <c r="AD965" s="293"/>
    </row>
    <row r="966" spans="1:30" ht="14.25" customHeight="1" x14ac:dyDescent="0.3">
      <c r="A966" s="293"/>
      <c r="B966" s="293"/>
      <c r="C966" s="293"/>
      <c r="D966" s="293"/>
      <c r="E966" s="293"/>
      <c r="F966" s="293"/>
      <c r="G966" s="293"/>
      <c r="H966" s="293"/>
      <c r="I966" s="293"/>
      <c r="J966" s="293"/>
      <c r="K966" s="293"/>
      <c r="L966" s="293"/>
      <c r="M966" s="293"/>
      <c r="N966" s="293"/>
      <c r="O966" s="293"/>
      <c r="P966" s="293"/>
      <c r="Q966" s="293"/>
      <c r="R966" s="293"/>
      <c r="S966" s="293"/>
      <c r="T966" s="293"/>
      <c r="U966" s="293"/>
      <c r="V966" s="293"/>
      <c r="W966" s="293"/>
      <c r="X966" s="293"/>
      <c r="Y966" s="293"/>
      <c r="Z966" s="293"/>
      <c r="AA966" s="293"/>
      <c r="AB966" s="293"/>
      <c r="AC966" s="293"/>
      <c r="AD966" s="293"/>
    </row>
    <row r="967" spans="1:30" ht="14.25" customHeight="1" x14ac:dyDescent="0.3">
      <c r="A967" s="293"/>
      <c r="B967" s="293"/>
      <c r="C967" s="293"/>
      <c r="D967" s="293"/>
      <c r="E967" s="293"/>
      <c r="F967" s="293"/>
      <c r="G967" s="293"/>
      <c r="H967" s="293"/>
      <c r="I967" s="293"/>
      <c r="J967" s="293"/>
      <c r="K967" s="293"/>
      <c r="L967" s="293"/>
      <c r="M967" s="293"/>
      <c r="N967" s="293"/>
      <c r="O967" s="293"/>
      <c r="P967" s="293"/>
      <c r="Q967" s="293"/>
      <c r="R967" s="293"/>
      <c r="S967" s="293"/>
      <c r="T967" s="293"/>
      <c r="U967" s="293"/>
      <c r="V967" s="293"/>
      <c r="W967" s="293"/>
      <c r="X967" s="293"/>
      <c r="Y967" s="293"/>
      <c r="Z967" s="293"/>
      <c r="AA967" s="293"/>
      <c r="AB967" s="293"/>
      <c r="AC967" s="293"/>
      <c r="AD967" s="293"/>
    </row>
    <row r="968" spans="1:30" ht="14.25" customHeight="1" x14ac:dyDescent="0.3">
      <c r="A968" s="293"/>
      <c r="B968" s="293"/>
      <c r="C968" s="293"/>
      <c r="D968" s="293"/>
      <c r="E968" s="293"/>
      <c r="F968" s="293"/>
      <c r="G968" s="293"/>
      <c r="H968" s="293"/>
      <c r="I968" s="293"/>
      <c r="J968" s="293"/>
      <c r="K968" s="293"/>
      <c r="L968" s="293"/>
      <c r="M968" s="293"/>
      <c r="N968" s="293"/>
      <c r="O968" s="293"/>
      <c r="P968" s="293"/>
      <c r="Q968" s="293"/>
      <c r="R968" s="293"/>
      <c r="S968" s="293"/>
      <c r="T968" s="293"/>
      <c r="U968" s="293"/>
      <c r="V968" s="293"/>
      <c r="W968" s="293"/>
      <c r="X968" s="293"/>
      <c r="Y968" s="293"/>
      <c r="Z968" s="293"/>
      <c r="AA968" s="293"/>
      <c r="AB968" s="293"/>
      <c r="AC968" s="293"/>
      <c r="AD968" s="293"/>
    </row>
    <row r="969" spans="1:30" ht="14.25" customHeight="1" x14ac:dyDescent="0.3">
      <c r="A969" s="293"/>
      <c r="B969" s="293"/>
      <c r="C969" s="293"/>
      <c r="D969" s="293"/>
      <c r="E969" s="293"/>
      <c r="F969" s="293"/>
      <c r="G969" s="293"/>
      <c r="H969" s="293"/>
      <c r="I969" s="293"/>
      <c r="J969" s="293"/>
      <c r="K969" s="293"/>
      <c r="L969" s="293"/>
      <c r="M969" s="293"/>
      <c r="N969" s="293"/>
      <c r="O969" s="293"/>
      <c r="P969" s="293"/>
      <c r="Q969" s="293"/>
      <c r="R969" s="293"/>
      <c r="S969" s="293"/>
      <c r="T969" s="293"/>
      <c r="U969" s="293"/>
      <c r="V969" s="293"/>
      <c r="W969" s="293"/>
      <c r="X969" s="293"/>
      <c r="Y969" s="293"/>
      <c r="Z969" s="293"/>
      <c r="AA969" s="293"/>
      <c r="AB969" s="293"/>
      <c r="AC969" s="293"/>
      <c r="AD969" s="293"/>
    </row>
    <row r="970" spans="1:30" ht="14.25" customHeight="1" x14ac:dyDescent="0.3">
      <c r="A970" s="293"/>
      <c r="B970" s="293"/>
      <c r="C970" s="293"/>
      <c r="D970" s="293"/>
      <c r="E970" s="293"/>
      <c r="F970" s="293"/>
      <c r="G970" s="293"/>
      <c r="H970" s="293"/>
      <c r="I970" s="293"/>
      <c r="J970" s="293"/>
      <c r="K970" s="293"/>
      <c r="L970" s="293"/>
      <c r="M970" s="293"/>
      <c r="N970" s="293"/>
      <c r="O970" s="293"/>
      <c r="P970" s="293"/>
      <c r="Q970" s="293"/>
      <c r="R970" s="293"/>
      <c r="S970" s="293"/>
      <c r="T970" s="293"/>
      <c r="U970" s="293"/>
      <c r="V970" s="293"/>
      <c r="W970" s="293"/>
      <c r="X970" s="293"/>
      <c r="Y970" s="293"/>
      <c r="Z970" s="293"/>
      <c r="AA970" s="293"/>
      <c r="AB970" s="293"/>
      <c r="AC970" s="293"/>
      <c r="AD970" s="293"/>
    </row>
    <row r="971" spans="1:30" ht="14.25" customHeight="1" x14ac:dyDescent="0.3">
      <c r="A971" s="293"/>
      <c r="B971" s="293"/>
      <c r="C971" s="293"/>
      <c r="D971" s="293"/>
      <c r="E971" s="293"/>
      <c r="F971" s="293"/>
      <c r="G971" s="293"/>
      <c r="H971" s="293"/>
      <c r="I971" s="293"/>
      <c r="J971" s="293"/>
      <c r="K971" s="293"/>
      <c r="L971" s="293"/>
      <c r="M971" s="293"/>
      <c r="N971" s="293"/>
      <c r="O971" s="293"/>
      <c r="P971" s="293"/>
      <c r="Q971" s="293"/>
      <c r="R971" s="293"/>
      <c r="S971" s="293"/>
      <c r="T971" s="293"/>
      <c r="U971" s="293"/>
      <c r="V971" s="293"/>
      <c r="W971" s="293"/>
      <c r="X971" s="293"/>
      <c r="Y971" s="293"/>
      <c r="Z971" s="293"/>
      <c r="AA971" s="293"/>
      <c r="AB971" s="293"/>
      <c r="AC971" s="293"/>
      <c r="AD971" s="293"/>
    </row>
    <row r="972" spans="1:30" ht="14.25" customHeight="1" x14ac:dyDescent="0.3">
      <c r="A972" s="293"/>
      <c r="B972" s="293"/>
      <c r="C972" s="293"/>
      <c r="D972" s="293"/>
      <c r="E972" s="293"/>
      <c r="F972" s="293"/>
      <c r="G972" s="293"/>
      <c r="H972" s="293"/>
      <c r="I972" s="293"/>
      <c r="J972" s="293"/>
      <c r="K972" s="293"/>
      <c r="L972" s="293"/>
      <c r="M972" s="293"/>
      <c r="N972" s="293"/>
      <c r="O972" s="293"/>
      <c r="P972" s="293"/>
      <c r="Q972" s="293"/>
      <c r="R972" s="293"/>
      <c r="S972" s="293"/>
      <c r="T972" s="293"/>
      <c r="U972" s="293"/>
      <c r="V972" s="293"/>
      <c r="W972" s="293"/>
      <c r="X972" s="293"/>
      <c r="Y972" s="293"/>
      <c r="Z972" s="293"/>
      <c r="AA972" s="293"/>
      <c r="AB972" s="293"/>
      <c r="AC972" s="293"/>
      <c r="AD972" s="293"/>
    </row>
    <row r="973" spans="1:30" ht="14.25" customHeight="1" x14ac:dyDescent="0.3">
      <c r="A973" s="293"/>
      <c r="B973" s="293"/>
      <c r="C973" s="293"/>
      <c r="D973" s="293"/>
      <c r="E973" s="293"/>
      <c r="F973" s="293"/>
      <c r="G973" s="293"/>
      <c r="H973" s="293"/>
      <c r="I973" s="293"/>
      <c r="J973" s="293"/>
      <c r="K973" s="293"/>
      <c r="L973" s="293"/>
      <c r="M973" s="293"/>
      <c r="N973" s="293"/>
      <c r="O973" s="293"/>
      <c r="P973" s="293"/>
      <c r="Q973" s="293"/>
      <c r="R973" s="293"/>
      <c r="S973" s="293"/>
      <c r="T973" s="293"/>
      <c r="U973" s="293"/>
      <c r="V973" s="293"/>
      <c r="W973" s="293"/>
      <c r="X973" s="293"/>
      <c r="Y973" s="293"/>
      <c r="Z973" s="293"/>
      <c r="AA973" s="293"/>
      <c r="AB973" s="293"/>
      <c r="AC973" s="293"/>
      <c r="AD973" s="293"/>
    </row>
    <row r="974" spans="1:30" ht="14.25" customHeight="1" x14ac:dyDescent="0.3">
      <c r="A974" s="293"/>
      <c r="B974" s="293"/>
      <c r="C974" s="293"/>
      <c r="D974" s="293"/>
      <c r="E974" s="293"/>
      <c r="F974" s="293"/>
      <c r="G974" s="293"/>
      <c r="H974" s="293"/>
      <c r="I974" s="293"/>
      <c r="J974" s="293"/>
      <c r="K974" s="293"/>
      <c r="L974" s="293"/>
      <c r="M974" s="293"/>
      <c r="N974" s="293"/>
      <c r="O974" s="293"/>
      <c r="P974" s="293"/>
      <c r="Q974" s="293"/>
      <c r="R974" s="293"/>
      <c r="S974" s="293"/>
      <c r="T974" s="293"/>
      <c r="U974" s="293"/>
      <c r="V974" s="293"/>
      <c r="W974" s="293"/>
      <c r="X974" s="293"/>
      <c r="Y974" s="293"/>
      <c r="Z974" s="293"/>
      <c r="AA974" s="293"/>
      <c r="AB974" s="293"/>
      <c r="AC974" s="293"/>
      <c r="AD974" s="293"/>
    </row>
    <row r="975" spans="1:30" ht="14.25" customHeight="1" x14ac:dyDescent="0.3">
      <c r="A975" s="293"/>
      <c r="B975" s="293"/>
      <c r="C975" s="293"/>
      <c r="D975" s="293"/>
      <c r="E975" s="293"/>
      <c r="F975" s="293"/>
      <c r="G975" s="293"/>
      <c r="H975" s="293"/>
      <c r="I975" s="293"/>
      <c r="J975" s="293"/>
      <c r="K975" s="293"/>
      <c r="L975" s="293"/>
      <c r="M975" s="293"/>
      <c r="N975" s="293"/>
      <c r="O975" s="293"/>
      <c r="P975" s="293"/>
      <c r="Q975" s="293"/>
      <c r="R975" s="293"/>
      <c r="S975" s="293"/>
      <c r="T975" s="293"/>
      <c r="U975" s="293"/>
      <c r="V975" s="293"/>
      <c r="W975" s="293"/>
      <c r="X975" s="293"/>
      <c r="Y975" s="293"/>
      <c r="Z975" s="293"/>
      <c r="AA975" s="293"/>
      <c r="AB975" s="293"/>
      <c r="AC975" s="293"/>
      <c r="AD975" s="293"/>
    </row>
    <row r="976" spans="1:30" ht="14.25" customHeight="1" x14ac:dyDescent="0.3">
      <c r="A976" s="293"/>
      <c r="B976" s="293"/>
      <c r="C976" s="293"/>
      <c r="D976" s="293"/>
      <c r="E976" s="293"/>
      <c r="F976" s="293"/>
      <c r="G976" s="293"/>
      <c r="H976" s="293"/>
      <c r="I976" s="293"/>
      <c r="J976" s="293"/>
      <c r="K976" s="293"/>
      <c r="L976" s="293"/>
      <c r="M976" s="293"/>
      <c r="N976" s="293"/>
      <c r="O976" s="293"/>
      <c r="P976" s="293"/>
      <c r="Q976" s="293"/>
      <c r="R976" s="293"/>
      <c r="S976" s="293"/>
      <c r="T976" s="293"/>
      <c r="U976" s="293"/>
      <c r="V976" s="293"/>
      <c r="W976" s="293"/>
      <c r="X976" s="293"/>
      <c r="Y976" s="293"/>
      <c r="Z976" s="293"/>
      <c r="AA976" s="293"/>
      <c r="AB976" s="293"/>
      <c r="AC976" s="293"/>
      <c r="AD976" s="293"/>
    </row>
    <row r="977" spans="1:30" ht="14.25" customHeight="1" x14ac:dyDescent="0.3">
      <c r="A977" s="293"/>
      <c r="B977" s="293"/>
      <c r="C977" s="293"/>
      <c r="D977" s="293"/>
      <c r="E977" s="293"/>
      <c r="F977" s="293"/>
      <c r="G977" s="293"/>
      <c r="H977" s="293"/>
      <c r="I977" s="293"/>
      <c r="J977" s="293"/>
      <c r="K977" s="293"/>
      <c r="L977" s="293"/>
      <c r="M977" s="293"/>
      <c r="N977" s="293"/>
      <c r="O977" s="293"/>
      <c r="P977" s="293"/>
      <c r="Q977" s="293"/>
      <c r="R977" s="293"/>
      <c r="S977" s="293"/>
      <c r="T977" s="293"/>
      <c r="U977" s="293"/>
      <c r="V977" s="293"/>
      <c r="W977" s="293"/>
      <c r="X977" s="293"/>
      <c r="Y977" s="293"/>
      <c r="Z977" s="293"/>
      <c r="AA977" s="293"/>
      <c r="AB977" s="293"/>
      <c r="AC977" s="293"/>
      <c r="AD977" s="293"/>
    </row>
    <row r="978" spans="1:30" ht="14.25" customHeight="1" x14ac:dyDescent="0.3">
      <c r="A978" s="293"/>
      <c r="B978" s="293"/>
      <c r="C978" s="293"/>
      <c r="D978" s="293"/>
      <c r="E978" s="293"/>
      <c r="F978" s="293"/>
      <c r="G978" s="293"/>
      <c r="H978" s="293"/>
      <c r="I978" s="293"/>
      <c r="J978" s="293"/>
      <c r="K978" s="293"/>
      <c r="L978" s="293"/>
      <c r="M978" s="293"/>
      <c r="N978" s="293"/>
      <c r="O978" s="293"/>
      <c r="P978" s="293"/>
      <c r="Q978" s="293"/>
      <c r="R978" s="293"/>
      <c r="S978" s="293"/>
      <c r="T978" s="293"/>
      <c r="U978" s="293"/>
      <c r="V978" s="293"/>
      <c r="W978" s="293"/>
      <c r="X978" s="293"/>
      <c r="Y978" s="293"/>
      <c r="Z978" s="293"/>
      <c r="AA978" s="293"/>
      <c r="AB978" s="293"/>
      <c r="AC978" s="293"/>
      <c r="AD978" s="293"/>
    </row>
    <row r="979" spans="1:30" ht="14.25" customHeight="1" x14ac:dyDescent="0.3">
      <c r="A979" s="293"/>
      <c r="B979" s="293"/>
      <c r="C979" s="293"/>
      <c r="D979" s="293"/>
      <c r="E979" s="293"/>
      <c r="F979" s="293"/>
      <c r="G979" s="293"/>
      <c r="H979" s="293"/>
      <c r="I979" s="293"/>
      <c r="J979" s="293"/>
      <c r="K979" s="293"/>
      <c r="L979" s="293"/>
      <c r="M979" s="293"/>
      <c r="N979" s="293"/>
      <c r="O979" s="293"/>
      <c r="P979" s="293"/>
      <c r="Q979" s="293"/>
      <c r="R979" s="293"/>
      <c r="S979" s="293"/>
      <c r="T979" s="293"/>
      <c r="U979" s="293"/>
      <c r="V979" s="293"/>
      <c r="W979" s="293"/>
      <c r="X979" s="293"/>
      <c r="Y979" s="293"/>
      <c r="Z979" s="293"/>
      <c r="AA979" s="293"/>
      <c r="AB979" s="293"/>
      <c r="AC979" s="293"/>
      <c r="AD979" s="293"/>
    </row>
    <row r="980" spans="1:30" ht="14.25" customHeight="1" x14ac:dyDescent="0.3">
      <c r="A980" s="293"/>
      <c r="B980" s="293"/>
      <c r="C980" s="293"/>
      <c r="D980" s="293"/>
      <c r="E980" s="293"/>
      <c r="F980" s="293"/>
      <c r="G980" s="293"/>
      <c r="H980" s="293"/>
      <c r="I980" s="293"/>
      <c r="J980" s="293"/>
      <c r="K980" s="293"/>
      <c r="L980" s="293"/>
      <c r="M980" s="293"/>
      <c r="N980" s="293"/>
      <c r="O980" s="293"/>
      <c r="P980" s="293"/>
      <c r="Q980" s="293"/>
      <c r="R980" s="293"/>
      <c r="S980" s="293"/>
      <c r="T980" s="293"/>
      <c r="U980" s="293"/>
      <c r="V980" s="293"/>
      <c r="W980" s="293"/>
      <c r="X980" s="293"/>
      <c r="Y980" s="293"/>
      <c r="Z980" s="293"/>
      <c r="AA980" s="293"/>
      <c r="AB980" s="293"/>
      <c r="AC980" s="293"/>
      <c r="AD980" s="293"/>
    </row>
    <row r="981" spans="1:30" ht="14.25" customHeight="1" x14ac:dyDescent="0.3">
      <c r="A981" s="293"/>
      <c r="B981" s="293"/>
      <c r="C981" s="293"/>
      <c r="D981" s="293"/>
      <c r="E981" s="293"/>
      <c r="F981" s="293"/>
      <c r="G981" s="293"/>
      <c r="H981" s="293"/>
      <c r="I981" s="293"/>
      <c r="J981" s="293"/>
      <c r="K981" s="293"/>
      <c r="L981" s="293"/>
      <c r="M981" s="293"/>
      <c r="N981" s="293"/>
      <c r="O981" s="293"/>
      <c r="P981" s="293"/>
      <c r="Q981" s="293"/>
      <c r="R981" s="293"/>
      <c r="S981" s="293"/>
      <c r="T981" s="293"/>
      <c r="U981" s="293"/>
      <c r="V981" s="293"/>
      <c r="W981" s="293"/>
      <c r="X981" s="293"/>
      <c r="Y981" s="293"/>
      <c r="Z981" s="293"/>
      <c r="AA981" s="293"/>
      <c r="AB981" s="293"/>
      <c r="AC981" s="293"/>
      <c r="AD981" s="293"/>
    </row>
    <row r="982" spans="1:30" ht="14.25" customHeight="1" x14ac:dyDescent="0.3">
      <c r="A982" s="293"/>
      <c r="B982" s="293"/>
      <c r="C982" s="293"/>
      <c r="D982" s="293"/>
      <c r="E982" s="293"/>
      <c r="F982" s="293"/>
      <c r="G982" s="293"/>
      <c r="H982" s="293"/>
      <c r="I982" s="293"/>
      <c r="J982" s="293"/>
      <c r="K982" s="293"/>
      <c r="L982" s="293"/>
      <c r="M982" s="293"/>
      <c r="N982" s="293"/>
      <c r="O982" s="293"/>
      <c r="P982" s="293"/>
      <c r="Q982" s="293"/>
      <c r="R982" s="293"/>
      <c r="S982" s="293"/>
      <c r="T982" s="293"/>
      <c r="U982" s="293"/>
      <c r="V982" s="293"/>
      <c r="W982" s="293"/>
      <c r="X982" s="293"/>
      <c r="Y982" s="293"/>
      <c r="Z982" s="293"/>
      <c r="AA982" s="293"/>
      <c r="AB982" s="293"/>
      <c r="AC982" s="293"/>
      <c r="AD982" s="293"/>
    </row>
    <row r="983" spans="1:30" ht="14.25" customHeight="1" x14ac:dyDescent="0.3">
      <c r="A983" s="293"/>
      <c r="B983" s="293"/>
      <c r="C983" s="293"/>
      <c r="D983" s="293"/>
      <c r="E983" s="293"/>
      <c r="F983" s="293"/>
      <c r="G983" s="293"/>
      <c r="H983" s="293"/>
      <c r="I983" s="293"/>
      <c r="J983" s="293"/>
      <c r="K983" s="293"/>
      <c r="L983" s="293"/>
      <c r="M983" s="293"/>
      <c r="N983" s="293"/>
      <c r="O983" s="293"/>
      <c r="P983" s="293"/>
      <c r="Q983" s="293"/>
      <c r="R983" s="293"/>
      <c r="S983" s="293"/>
      <c r="T983" s="293"/>
      <c r="U983" s="293"/>
      <c r="V983" s="293"/>
      <c r="W983" s="293"/>
      <c r="X983" s="293"/>
      <c r="Y983" s="293"/>
      <c r="Z983" s="293"/>
      <c r="AA983" s="293"/>
      <c r="AB983" s="293"/>
      <c r="AC983" s="293"/>
      <c r="AD983" s="293"/>
    </row>
    <row r="984" spans="1:30" ht="14.25" customHeight="1" x14ac:dyDescent="0.3">
      <c r="A984" s="293"/>
      <c r="B984" s="293"/>
      <c r="C984" s="293"/>
      <c r="D984" s="293"/>
      <c r="E984" s="293"/>
      <c r="F984" s="293"/>
      <c r="G984" s="293"/>
      <c r="H984" s="293"/>
      <c r="I984" s="293"/>
      <c r="J984" s="293"/>
      <c r="K984" s="293"/>
      <c r="L984" s="293"/>
      <c r="M984" s="293"/>
      <c r="N984" s="293"/>
      <c r="O984" s="293"/>
      <c r="P984" s="293"/>
      <c r="Q984" s="293"/>
      <c r="R984" s="293"/>
      <c r="S984" s="293"/>
      <c r="T984" s="293"/>
      <c r="U984" s="293"/>
      <c r="V984" s="293"/>
      <c r="W984" s="293"/>
      <c r="X984" s="293"/>
      <c r="Y984" s="293"/>
      <c r="Z984" s="293"/>
      <c r="AA984" s="293"/>
      <c r="AB984" s="293"/>
      <c r="AC984" s="293"/>
      <c r="AD984" s="293"/>
    </row>
    <row r="985" spans="1:30" ht="14.25" customHeight="1" x14ac:dyDescent="0.3">
      <c r="A985" s="293"/>
      <c r="B985" s="293"/>
      <c r="C985" s="293"/>
      <c r="D985" s="293"/>
      <c r="E985" s="293"/>
      <c r="F985" s="293"/>
      <c r="G985" s="293"/>
      <c r="H985" s="293"/>
      <c r="I985" s="293"/>
      <c r="J985" s="293"/>
      <c r="K985" s="293"/>
      <c r="L985" s="293"/>
      <c r="M985" s="293"/>
      <c r="N985" s="293"/>
      <c r="O985" s="293"/>
      <c r="P985" s="293"/>
      <c r="Q985" s="293"/>
      <c r="R985" s="293"/>
      <c r="S985" s="293"/>
      <c r="T985" s="293"/>
      <c r="U985" s="293"/>
      <c r="V985" s="293"/>
      <c r="W985" s="293"/>
      <c r="X985" s="293"/>
      <c r="Y985" s="293"/>
      <c r="Z985" s="293"/>
      <c r="AA985" s="293"/>
      <c r="AB985" s="293"/>
      <c r="AC985" s="293"/>
      <c r="AD985" s="293"/>
    </row>
    <row r="986" spans="1:30" ht="14.25" customHeight="1" x14ac:dyDescent="0.3">
      <c r="A986" s="293"/>
      <c r="B986" s="293"/>
      <c r="C986" s="293"/>
      <c r="D986" s="293"/>
      <c r="E986" s="293"/>
      <c r="F986" s="293"/>
      <c r="G986" s="293"/>
      <c r="H986" s="293"/>
      <c r="I986" s="293"/>
      <c r="J986" s="293"/>
      <c r="K986" s="293"/>
      <c r="L986" s="293"/>
      <c r="M986" s="293"/>
      <c r="N986" s="293"/>
      <c r="O986" s="293"/>
      <c r="P986" s="293"/>
      <c r="Q986" s="293"/>
      <c r="R986" s="293"/>
      <c r="S986" s="293"/>
      <c r="T986" s="293"/>
      <c r="U986" s="293"/>
      <c r="V986" s="293"/>
      <c r="W986" s="293"/>
      <c r="X986" s="293"/>
      <c r="Y986" s="293"/>
      <c r="Z986" s="293"/>
      <c r="AA986" s="293"/>
      <c r="AB986" s="293"/>
      <c r="AC986" s="293"/>
      <c r="AD986" s="293"/>
    </row>
    <row r="987" spans="1:30" ht="14.25" customHeight="1" x14ac:dyDescent="0.3">
      <c r="A987" s="293"/>
      <c r="B987" s="293"/>
      <c r="C987" s="293"/>
      <c r="D987" s="293"/>
      <c r="E987" s="293"/>
      <c r="F987" s="293"/>
      <c r="G987" s="293"/>
      <c r="H987" s="293"/>
      <c r="I987" s="293"/>
      <c r="J987" s="293"/>
      <c r="K987" s="293"/>
      <c r="L987" s="293"/>
      <c r="M987" s="293"/>
      <c r="N987" s="293"/>
      <c r="O987" s="293"/>
      <c r="P987" s="293"/>
      <c r="Q987" s="293"/>
      <c r="R987" s="293"/>
      <c r="S987" s="293"/>
      <c r="T987" s="293"/>
      <c r="U987" s="293"/>
      <c r="V987" s="293"/>
      <c r="W987" s="293"/>
      <c r="X987" s="293"/>
      <c r="Y987" s="293"/>
      <c r="Z987" s="293"/>
      <c r="AA987" s="293"/>
      <c r="AB987" s="293"/>
      <c r="AC987" s="293"/>
      <c r="AD987" s="293"/>
    </row>
    <row r="988" spans="1:30" ht="14.25" customHeight="1" x14ac:dyDescent="0.3">
      <c r="A988" s="293"/>
      <c r="B988" s="293"/>
      <c r="C988" s="293"/>
      <c r="D988" s="293"/>
      <c r="E988" s="293"/>
      <c r="F988" s="293"/>
      <c r="G988" s="293"/>
      <c r="H988" s="293"/>
      <c r="I988" s="293"/>
      <c r="J988" s="293"/>
      <c r="K988" s="293"/>
      <c r="L988" s="293"/>
      <c r="M988" s="293"/>
      <c r="N988" s="293"/>
      <c r="O988" s="293"/>
      <c r="P988" s="293"/>
      <c r="Q988" s="293"/>
      <c r="R988" s="293"/>
      <c r="S988" s="293"/>
      <c r="T988" s="293"/>
      <c r="U988" s="293"/>
      <c r="V988" s="293"/>
      <c r="W988" s="293"/>
      <c r="X988" s="293"/>
      <c r="Y988" s="293"/>
      <c r="Z988" s="293"/>
      <c r="AA988" s="293"/>
      <c r="AB988" s="293"/>
      <c r="AC988" s="293"/>
      <c r="AD988" s="293"/>
    </row>
    <row r="989" spans="1:30" ht="14.25" customHeight="1" x14ac:dyDescent="0.3">
      <c r="A989" s="293"/>
      <c r="B989" s="293"/>
      <c r="C989" s="293"/>
      <c r="D989" s="293"/>
      <c r="E989" s="293"/>
      <c r="F989" s="293"/>
      <c r="G989" s="293"/>
      <c r="H989" s="293"/>
      <c r="I989" s="293"/>
      <c r="J989" s="293"/>
      <c r="K989" s="293"/>
      <c r="L989" s="293"/>
      <c r="M989" s="293"/>
      <c r="N989" s="293"/>
      <c r="O989" s="293"/>
      <c r="P989" s="293"/>
      <c r="Q989" s="293"/>
      <c r="R989" s="293"/>
      <c r="S989" s="293"/>
      <c r="T989" s="293"/>
      <c r="U989" s="293"/>
      <c r="V989" s="293"/>
      <c r="W989" s="293"/>
      <c r="X989" s="293"/>
      <c r="Y989" s="293"/>
      <c r="Z989" s="293"/>
      <c r="AA989" s="293"/>
      <c r="AB989" s="293"/>
      <c r="AC989" s="293"/>
      <c r="AD989" s="293"/>
    </row>
    <row r="990" spans="1:30" ht="14.25" customHeight="1" x14ac:dyDescent="0.3">
      <c r="A990" s="293"/>
      <c r="B990" s="293"/>
      <c r="C990" s="293"/>
      <c r="D990" s="293"/>
      <c r="E990" s="293"/>
      <c r="F990" s="293"/>
      <c r="G990" s="293"/>
      <c r="H990" s="293"/>
      <c r="I990" s="293"/>
      <c r="J990" s="293"/>
      <c r="K990" s="293"/>
      <c r="L990" s="293"/>
      <c r="M990" s="293"/>
      <c r="N990" s="293"/>
      <c r="O990" s="293"/>
      <c r="P990" s="293"/>
      <c r="Q990" s="293"/>
      <c r="R990" s="293"/>
      <c r="S990" s="293"/>
      <c r="T990" s="293"/>
      <c r="U990" s="293"/>
      <c r="V990" s="293"/>
      <c r="W990" s="293"/>
      <c r="X990" s="293"/>
      <c r="Y990" s="293"/>
      <c r="Z990" s="293"/>
      <c r="AA990" s="293"/>
      <c r="AB990" s="293"/>
      <c r="AC990" s="293"/>
      <c r="AD990" s="293"/>
    </row>
    <row r="991" spans="1:30" ht="14.25" customHeight="1" x14ac:dyDescent="0.3">
      <c r="A991" s="293"/>
      <c r="B991" s="293"/>
      <c r="C991" s="293"/>
      <c r="D991" s="293"/>
      <c r="E991" s="293"/>
      <c r="F991" s="293"/>
      <c r="G991" s="293"/>
      <c r="H991" s="293"/>
      <c r="I991" s="293"/>
      <c r="J991" s="293"/>
      <c r="K991" s="293"/>
      <c r="L991" s="293"/>
      <c r="M991" s="293"/>
      <c r="N991" s="293"/>
      <c r="O991" s="293"/>
      <c r="P991" s="293"/>
      <c r="Q991" s="293"/>
      <c r="R991" s="293"/>
      <c r="S991" s="293"/>
      <c r="T991" s="293"/>
      <c r="U991" s="293"/>
      <c r="V991" s="293"/>
      <c r="W991" s="293"/>
      <c r="X991" s="293"/>
      <c r="Y991" s="293"/>
      <c r="Z991" s="293"/>
      <c r="AA991" s="293"/>
      <c r="AB991" s="293"/>
      <c r="AC991" s="293"/>
      <c r="AD991" s="293"/>
    </row>
    <row r="992" spans="1:30" ht="14.25" customHeight="1" x14ac:dyDescent="0.3">
      <c r="A992" s="293"/>
      <c r="B992" s="293"/>
      <c r="C992" s="293"/>
      <c r="D992" s="293"/>
      <c r="E992" s="293"/>
      <c r="F992" s="293"/>
      <c r="G992" s="293"/>
      <c r="H992" s="293"/>
      <c r="I992" s="293"/>
      <c r="J992" s="293"/>
      <c r="K992" s="293"/>
      <c r="L992" s="293"/>
      <c r="M992" s="293"/>
      <c r="N992" s="293"/>
      <c r="O992" s="293"/>
      <c r="P992" s="293"/>
      <c r="Q992" s="293"/>
      <c r="R992" s="293"/>
      <c r="S992" s="293"/>
      <c r="T992" s="293"/>
      <c r="U992" s="293"/>
      <c r="V992" s="293"/>
      <c r="W992" s="293"/>
      <c r="X992" s="293"/>
      <c r="Y992" s="293"/>
      <c r="Z992" s="293"/>
      <c r="AA992" s="293"/>
      <c r="AB992" s="293"/>
      <c r="AC992" s="293"/>
      <c r="AD992" s="293"/>
    </row>
    <row r="993" spans="1:30" ht="14.25" customHeight="1" x14ac:dyDescent="0.3">
      <c r="A993" s="293"/>
      <c r="B993" s="293"/>
      <c r="C993" s="293"/>
      <c r="D993" s="293"/>
      <c r="E993" s="293"/>
      <c r="F993" s="293"/>
      <c r="G993" s="293"/>
      <c r="H993" s="293"/>
      <c r="I993" s="293"/>
      <c r="J993" s="293"/>
      <c r="K993" s="293"/>
      <c r="L993" s="293"/>
      <c r="M993" s="293"/>
      <c r="N993" s="293"/>
      <c r="O993" s="293"/>
      <c r="P993" s="293"/>
      <c r="Q993" s="293"/>
      <c r="R993" s="293"/>
      <c r="S993" s="293"/>
      <c r="T993" s="293"/>
      <c r="U993" s="293"/>
      <c r="V993" s="293"/>
      <c r="W993" s="293"/>
      <c r="X993" s="293"/>
      <c r="Y993" s="293"/>
      <c r="Z993" s="293"/>
      <c r="AA993" s="293"/>
      <c r="AB993" s="293"/>
      <c r="AC993" s="293"/>
      <c r="AD993" s="293"/>
    </row>
    <row r="994" spans="1:30" ht="14.25" customHeight="1" x14ac:dyDescent="0.3">
      <c r="A994" s="293"/>
      <c r="B994" s="293"/>
      <c r="C994" s="293"/>
      <c r="D994" s="293"/>
      <c r="E994" s="293"/>
      <c r="F994" s="293"/>
      <c r="G994" s="293"/>
      <c r="H994" s="293"/>
      <c r="I994" s="293"/>
      <c r="J994" s="293"/>
      <c r="K994" s="293"/>
      <c r="L994" s="293"/>
      <c r="M994" s="293"/>
      <c r="N994" s="293"/>
      <c r="O994" s="293"/>
      <c r="P994" s="293"/>
      <c r="Q994" s="293"/>
      <c r="R994" s="293"/>
      <c r="S994" s="293"/>
      <c r="T994" s="293"/>
      <c r="U994" s="293"/>
      <c r="V994" s="293"/>
      <c r="W994" s="293"/>
      <c r="X994" s="293"/>
      <c r="Y994" s="293"/>
      <c r="Z994" s="293"/>
      <c r="AA994" s="293"/>
      <c r="AB994" s="293"/>
      <c r="AC994" s="293"/>
      <c r="AD994" s="293"/>
    </row>
    <row r="995" spans="1:30" ht="14.25" customHeight="1" x14ac:dyDescent="0.3">
      <c r="A995" s="293"/>
      <c r="B995" s="293"/>
      <c r="C995" s="293"/>
      <c r="D995" s="293"/>
      <c r="E995" s="293"/>
      <c r="F995" s="293"/>
      <c r="G995" s="293"/>
      <c r="H995" s="293"/>
      <c r="I995" s="293"/>
      <c r="J995" s="293"/>
      <c r="K995" s="293"/>
      <c r="L995" s="293"/>
      <c r="M995" s="293"/>
      <c r="N995" s="293"/>
      <c r="O995" s="293"/>
      <c r="P995" s="293"/>
      <c r="Q995" s="293"/>
      <c r="R995" s="293"/>
      <c r="S995" s="293"/>
      <c r="T995" s="293"/>
      <c r="U995" s="293"/>
      <c r="V995" s="293"/>
      <c r="W995" s="293"/>
      <c r="X995" s="293"/>
      <c r="Y995" s="293"/>
      <c r="Z995" s="293"/>
      <c r="AA995" s="293"/>
      <c r="AB995" s="293"/>
      <c r="AC995" s="293"/>
      <c r="AD995" s="293"/>
    </row>
    <row r="996" spans="1:30" ht="14.25" customHeight="1" x14ac:dyDescent="0.3">
      <c r="A996" s="293"/>
      <c r="B996" s="293"/>
      <c r="C996" s="293"/>
      <c r="D996" s="293"/>
      <c r="E996" s="293"/>
      <c r="F996" s="293"/>
      <c r="G996" s="293"/>
      <c r="H996" s="293"/>
      <c r="I996" s="293"/>
      <c r="J996" s="293"/>
      <c r="K996" s="293"/>
      <c r="L996" s="293"/>
      <c r="M996" s="293"/>
      <c r="N996" s="293"/>
      <c r="O996" s="293"/>
      <c r="P996" s="293"/>
      <c r="Q996" s="293"/>
      <c r="R996" s="293"/>
      <c r="S996" s="293"/>
      <c r="T996" s="293"/>
      <c r="U996" s="293"/>
      <c r="V996" s="293"/>
      <c r="W996" s="293"/>
      <c r="X996" s="293"/>
      <c r="Y996" s="293"/>
      <c r="Z996" s="293"/>
      <c r="AA996" s="293"/>
      <c r="AB996" s="293"/>
      <c r="AC996" s="293"/>
      <c r="AD996" s="293"/>
    </row>
    <row r="997" spans="1:30" ht="14.25" customHeight="1" x14ac:dyDescent="0.3">
      <c r="A997" s="293"/>
      <c r="B997" s="293"/>
      <c r="C997" s="293"/>
      <c r="D997" s="293"/>
      <c r="E997" s="293"/>
      <c r="F997" s="293"/>
      <c r="G997" s="293"/>
      <c r="H997" s="293"/>
      <c r="I997" s="293"/>
      <c r="J997" s="293"/>
      <c r="K997" s="293"/>
      <c r="L997" s="293"/>
      <c r="M997" s="293"/>
      <c r="N997" s="293"/>
      <c r="O997" s="293"/>
      <c r="P997" s="293"/>
      <c r="Q997" s="293"/>
      <c r="R997" s="293"/>
      <c r="S997" s="293"/>
      <c r="T997" s="293"/>
      <c r="U997" s="293"/>
      <c r="V997" s="293"/>
      <c r="W997" s="293"/>
      <c r="X997" s="293"/>
      <c r="Y997" s="293"/>
      <c r="Z997" s="293"/>
      <c r="AA997" s="293"/>
      <c r="AB997" s="293"/>
      <c r="AC997" s="293"/>
      <c r="AD997" s="293"/>
    </row>
    <row r="998" spans="1:30" ht="14.25" customHeight="1" x14ac:dyDescent="0.3">
      <c r="A998" s="293"/>
      <c r="B998" s="293"/>
      <c r="C998" s="293"/>
      <c r="D998" s="293"/>
      <c r="E998" s="293"/>
      <c r="F998" s="293"/>
      <c r="G998" s="293"/>
      <c r="H998" s="293"/>
      <c r="I998" s="293"/>
      <c r="J998" s="293"/>
      <c r="K998" s="293"/>
      <c r="L998" s="293"/>
      <c r="M998" s="293"/>
      <c r="N998" s="293"/>
      <c r="O998" s="293"/>
      <c r="P998" s="293"/>
      <c r="Q998" s="293"/>
      <c r="R998" s="293"/>
      <c r="S998" s="293"/>
      <c r="T998" s="293"/>
      <c r="U998" s="293"/>
      <c r="V998" s="293"/>
      <c r="W998" s="293"/>
      <c r="X998" s="293"/>
      <c r="Y998" s="293"/>
      <c r="Z998" s="293"/>
      <c r="AA998" s="293"/>
      <c r="AB998" s="293"/>
      <c r="AC998" s="293"/>
      <c r="AD998" s="293"/>
    </row>
    <row r="999" spans="1:30" ht="14.25" customHeight="1" x14ac:dyDescent="0.3">
      <c r="A999" s="293"/>
      <c r="B999" s="293"/>
      <c r="C999" s="293"/>
      <c r="D999" s="293"/>
      <c r="E999" s="293"/>
      <c r="F999" s="293"/>
      <c r="G999" s="293"/>
      <c r="H999" s="293"/>
      <c r="I999" s="293"/>
      <c r="J999" s="293"/>
      <c r="K999" s="293"/>
      <c r="L999" s="293"/>
      <c r="M999" s="293"/>
      <c r="N999" s="293"/>
      <c r="O999" s="293"/>
      <c r="P999" s="293"/>
      <c r="Q999" s="293"/>
      <c r="R999" s="293"/>
      <c r="S999" s="293"/>
      <c r="T999" s="293"/>
      <c r="U999" s="293"/>
      <c r="V999" s="293"/>
      <c r="W999" s="293"/>
      <c r="X999" s="293"/>
      <c r="Y999" s="293"/>
      <c r="Z999" s="293"/>
      <c r="AA999" s="293"/>
      <c r="AB999" s="293"/>
      <c r="AC999" s="293"/>
      <c r="AD999" s="293"/>
    </row>
    <row r="1000" spans="1:30" ht="14.25" customHeight="1" x14ac:dyDescent="0.3">
      <c r="A1000" s="293"/>
      <c r="B1000" s="293"/>
      <c r="C1000" s="293"/>
      <c r="D1000" s="293"/>
      <c r="E1000" s="293"/>
      <c r="F1000" s="293"/>
      <c r="G1000" s="293"/>
      <c r="H1000" s="293"/>
      <c r="I1000" s="293"/>
      <c r="J1000" s="293"/>
      <c r="K1000" s="293"/>
      <c r="L1000" s="293"/>
      <c r="M1000" s="293"/>
      <c r="N1000" s="293"/>
      <c r="O1000" s="293"/>
      <c r="P1000" s="293"/>
      <c r="Q1000" s="293"/>
      <c r="R1000" s="293"/>
      <c r="S1000" s="293"/>
      <c r="T1000" s="293"/>
      <c r="U1000" s="293"/>
      <c r="V1000" s="293"/>
      <c r="W1000" s="293"/>
      <c r="X1000" s="293"/>
      <c r="Y1000" s="293"/>
      <c r="Z1000" s="293"/>
      <c r="AA1000" s="293"/>
      <c r="AB1000" s="293"/>
      <c r="AC1000" s="293"/>
      <c r="AD1000" s="293"/>
    </row>
    <row r="1001" spans="1:30" ht="14.25" customHeight="1" x14ac:dyDescent="0.3">
      <c r="A1001" s="293"/>
      <c r="B1001" s="293"/>
      <c r="C1001" s="293"/>
      <c r="D1001" s="293"/>
      <c r="E1001" s="293"/>
      <c r="F1001" s="293"/>
      <c r="G1001" s="293"/>
      <c r="H1001" s="293"/>
      <c r="I1001" s="293"/>
      <c r="J1001" s="293"/>
      <c r="K1001" s="293"/>
      <c r="L1001" s="293"/>
      <c r="M1001" s="293"/>
      <c r="N1001" s="293"/>
      <c r="O1001" s="293"/>
      <c r="P1001" s="293"/>
      <c r="Q1001" s="293"/>
      <c r="R1001" s="293"/>
      <c r="S1001" s="293"/>
      <c r="T1001" s="293"/>
      <c r="U1001" s="293"/>
      <c r="V1001" s="293"/>
      <c r="W1001" s="293"/>
      <c r="X1001" s="293"/>
      <c r="Y1001" s="293"/>
      <c r="Z1001" s="293"/>
      <c r="AA1001" s="293"/>
      <c r="AB1001" s="293"/>
      <c r="AC1001" s="293"/>
      <c r="AD1001" s="293"/>
    </row>
    <row r="1002" spans="1:30" ht="14.25" customHeight="1" x14ac:dyDescent="0.3">
      <c r="A1002" s="293"/>
      <c r="B1002" s="293"/>
      <c r="C1002" s="293"/>
      <c r="D1002" s="293"/>
      <c r="E1002" s="293"/>
      <c r="F1002" s="293"/>
      <c r="G1002" s="293"/>
      <c r="H1002" s="293"/>
      <c r="I1002" s="293"/>
      <c r="J1002" s="293"/>
      <c r="K1002" s="293"/>
      <c r="L1002" s="293"/>
      <c r="M1002" s="293"/>
      <c r="N1002" s="293"/>
      <c r="O1002" s="293"/>
      <c r="P1002" s="293"/>
      <c r="Q1002" s="293"/>
      <c r="R1002" s="293"/>
      <c r="S1002" s="293"/>
      <c r="T1002" s="293"/>
      <c r="U1002" s="293"/>
      <c r="V1002" s="293"/>
      <c r="W1002" s="293"/>
      <c r="X1002" s="293"/>
      <c r="Y1002" s="293"/>
      <c r="Z1002" s="293"/>
      <c r="AA1002" s="293"/>
      <c r="AB1002" s="293"/>
      <c r="AC1002" s="293"/>
      <c r="AD1002" s="293"/>
    </row>
    <row r="1003" spans="1:30" ht="14.25" customHeight="1" x14ac:dyDescent="0.3">
      <c r="A1003" s="293"/>
      <c r="B1003" s="293"/>
      <c r="C1003" s="293"/>
      <c r="D1003" s="293"/>
      <c r="E1003" s="293"/>
      <c r="F1003" s="293"/>
      <c r="G1003" s="293"/>
      <c r="H1003" s="293"/>
      <c r="I1003" s="293"/>
      <c r="J1003" s="293"/>
      <c r="K1003" s="293"/>
      <c r="L1003" s="293"/>
      <c r="M1003" s="293"/>
      <c r="N1003" s="293"/>
      <c r="O1003" s="293"/>
      <c r="P1003" s="293"/>
      <c r="Q1003" s="293"/>
      <c r="R1003" s="293"/>
      <c r="S1003" s="293"/>
      <c r="T1003" s="293"/>
      <c r="U1003" s="293"/>
      <c r="V1003" s="293"/>
      <c r="W1003" s="293"/>
      <c r="X1003" s="293"/>
      <c r="Y1003" s="293"/>
      <c r="Z1003" s="293"/>
      <c r="AA1003" s="293"/>
      <c r="AB1003" s="293"/>
      <c r="AC1003" s="293"/>
      <c r="AD1003" s="293"/>
    </row>
  </sheetData>
  <mergeCells count="10">
    <mergeCell ref="G37:P37"/>
    <mergeCell ref="B62:C62"/>
    <mergeCell ref="B77:C77"/>
    <mergeCell ref="B79:E79"/>
    <mergeCell ref="B2:C2"/>
    <mergeCell ref="B5:H5"/>
    <mergeCell ref="J5:AD5"/>
    <mergeCell ref="B19:C19"/>
    <mergeCell ref="K21:N21"/>
    <mergeCell ref="B35:C35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D101-5B9B-4630-890E-8A9A92EE85CC}">
  <sheetPr>
    <tabColor rgb="FF00B050"/>
    <pageSetUpPr fitToPage="1"/>
  </sheetPr>
  <dimension ref="A1:P52"/>
  <sheetViews>
    <sheetView showGridLines="0" zoomScale="91" zoomScaleNormal="91" zoomScaleSheetLayoutView="100" workbookViewId="0">
      <selection activeCell="F10" sqref="F10"/>
    </sheetView>
  </sheetViews>
  <sheetFormatPr defaultColWidth="8.77734375" defaultRowHeight="14.4" customHeight="1" x14ac:dyDescent="0.3"/>
  <cols>
    <col min="1" max="1" width="3.44140625" style="6" customWidth="1"/>
    <col min="2" max="2" width="6.5546875" style="3" bestFit="1" customWidth="1"/>
    <col min="3" max="3" width="0.77734375" style="3" customWidth="1"/>
    <col min="4" max="4" width="42.21875" style="3" customWidth="1"/>
    <col min="5" max="5" width="13.109375" style="3" bestFit="1" customWidth="1"/>
    <col min="6" max="9" width="12.5546875" style="3" bestFit="1" customWidth="1"/>
    <col min="10" max="14" width="10.77734375" style="3" customWidth="1"/>
    <col min="15" max="15" width="14.44140625" style="3" bestFit="1" customWidth="1"/>
    <col min="16" max="16" width="11.21875" style="3" bestFit="1" customWidth="1"/>
    <col min="17" max="16384" width="8.77734375" style="3"/>
  </cols>
  <sheetData>
    <row r="1" spans="1:16" s="4" customFormat="1" ht="14.4" customHeight="1" x14ac:dyDescent="0.3">
      <c r="A1" s="1"/>
      <c r="G1" s="24"/>
      <c r="H1" s="24"/>
      <c r="I1" s="24"/>
      <c r="J1" s="24"/>
      <c r="K1" s="24"/>
      <c r="L1" s="24"/>
      <c r="M1" s="24"/>
      <c r="N1" s="24"/>
      <c r="O1" s="24"/>
      <c r="P1" s="3"/>
    </row>
    <row r="2" spans="1:16" s="4" customFormat="1" ht="14.4" customHeight="1" x14ac:dyDescent="0.3">
      <c r="A2" s="1"/>
      <c r="G2" s="24"/>
      <c r="H2" s="24"/>
      <c r="I2" s="24"/>
      <c r="J2" s="24"/>
      <c r="K2" s="24"/>
      <c r="L2" s="24"/>
      <c r="M2" s="24"/>
      <c r="N2" s="24"/>
      <c r="O2" s="24"/>
      <c r="P2" s="3"/>
    </row>
    <row r="3" spans="1:16" s="4" customFormat="1" ht="14.4" customHeight="1" x14ac:dyDescent="0.3">
      <c r="A3" s="1"/>
      <c r="C3" s="29"/>
      <c r="D3" s="373" t="s">
        <v>462</v>
      </c>
      <c r="E3" s="29"/>
      <c r="F3" s="9"/>
      <c r="G3" s="10"/>
      <c r="H3" s="24"/>
      <c r="I3" s="24"/>
      <c r="J3" s="24"/>
      <c r="K3" s="24"/>
      <c r="L3" s="24"/>
      <c r="M3" s="24"/>
      <c r="N3" s="24"/>
      <c r="O3" s="24"/>
      <c r="P3" s="3"/>
    </row>
    <row r="4" spans="1:16" s="4" customFormat="1" ht="14.4" customHeight="1" x14ac:dyDescent="0.3">
      <c r="A4" s="1"/>
      <c r="G4" s="24"/>
      <c r="H4" s="24"/>
      <c r="I4" s="24"/>
      <c r="J4" s="24"/>
      <c r="K4" s="24"/>
      <c r="L4" s="24"/>
      <c r="M4" s="24"/>
      <c r="N4" s="24"/>
      <c r="O4" s="24"/>
      <c r="P4" s="3"/>
    </row>
    <row r="6" spans="1:16" ht="14.4" customHeight="1" x14ac:dyDescent="0.3">
      <c r="B6" s="12" t="s">
        <v>1</v>
      </c>
      <c r="C6" s="4"/>
      <c r="D6" s="32" t="s">
        <v>98</v>
      </c>
      <c r="E6" s="14" t="str">
        <f>'P&amp;L'!F5</f>
        <v>2025-26</v>
      </c>
      <c r="F6" s="14" t="str">
        <f>'P&amp;L'!G5</f>
        <v>2026-27</v>
      </c>
      <c r="G6" s="14" t="str">
        <f>'P&amp;L'!H5</f>
        <v>2027-28</v>
      </c>
      <c r="H6" s="14" t="str">
        <f>'P&amp;L'!I5</f>
        <v>2028-29</v>
      </c>
      <c r="I6" s="14" t="str">
        <f>'P&amp;L'!J5</f>
        <v>2029-30</v>
      </c>
      <c r="J6" s="14" t="str">
        <f>'P&amp;L'!K5</f>
        <v>2030-31</v>
      </c>
      <c r="K6" s="14" t="str">
        <f>'P&amp;L'!L5</f>
        <v>2031-32</v>
      </c>
      <c r="L6" s="14" t="str">
        <f>'P&amp;L'!M5</f>
        <v>2032-33</v>
      </c>
      <c r="M6" s="14" t="str">
        <f>'P&amp;L'!N5</f>
        <v>2033-34</v>
      </c>
      <c r="N6" s="14" t="str">
        <f>'P&amp;L'!O5</f>
        <v>2034-35</v>
      </c>
    </row>
    <row r="7" spans="1:16" ht="14.4" customHeight="1" x14ac:dyDescent="0.3">
      <c r="B7" s="21">
        <v>1</v>
      </c>
      <c r="C7" s="48"/>
      <c r="D7" s="34" t="s">
        <v>422</v>
      </c>
      <c r="E7" s="50">
        <f>'P&amp;L'!F9</f>
        <v>135</v>
      </c>
      <c r="F7" s="50">
        <f>'P&amp;L'!G9</f>
        <v>162</v>
      </c>
      <c r="G7" s="50">
        <f>'P&amp;L'!H9</f>
        <v>202.5</v>
      </c>
      <c r="H7" s="50">
        <f>'P&amp;L'!I9</f>
        <v>253.125</v>
      </c>
      <c r="I7" s="50">
        <f>'P&amp;L'!J9</f>
        <v>316.40625</v>
      </c>
      <c r="J7" s="50">
        <f>'P&amp;L'!K9</f>
        <v>395.5078125</v>
      </c>
      <c r="K7" s="50">
        <f>'P&amp;L'!L9</f>
        <v>494.384765625</v>
      </c>
      <c r="L7" s="50">
        <f>'P&amp;L'!M9</f>
        <v>617.98095703125</v>
      </c>
      <c r="M7" s="50">
        <f>'P&amp;L'!N9</f>
        <v>772.4761962890625</v>
      </c>
      <c r="N7" s="50">
        <f>'P&amp;L'!O9</f>
        <v>965.59524536132813</v>
      </c>
    </row>
    <row r="8" spans="1:16" ht="14.4" customHeight="1" x14ac:dyDescent="0.3">
      <c r="B8" s="21">
        <v>2</v>
      </c>
      <c r="C8" s="48"/>
      <c r="D8" s="34" t="s">
        <v>423</v>
      </c>
      <c r="E8" s="50">
        <f>'P&amp;L'!F11</f>
        <v>270</v>
      </c>
      <c r="F8" s="50">
        <f>'P&amp;L'!G11</f>
        <v>792.00000000000011</v>
      </c>
      <c r="G8" s="50">
        <f>'P&amp;L'!H11</f>
        <v>1633.5000000000002</v>
      </c>
      <c r="H8" s="50">
        <f>'P&amp;L'!I11</f>
        <v>2874.9600000000009</v>
      </c>
      <c r="I8" s="50">
        <f>'P&amp;L'!J11</f>
        <v>4348.3770000000022</v>
      </c>
      <c r="J8" s="50">
        <f>'P&amp;L'!K11</f>
        <v>5811.0129000000034</v>
      </c>
      <c r="K8" s="50">
        <f>'P&amp;L'!L11</f>
        <v>7409.0414475000052</v>
      </c>
      <c r="L8" s="50">
        <f>'P&amp;L'!M11</f>
        <v>9304.8844061250074</v>
      </c>
      <c r="M8" s="50">
        <f>'P&amp;L'!N11</f>
        <v>11371.789056993759</v>
      </c>
      <c r="N8" s="50">
        <f>'P&amp;L'!O11</f>
        <v>13622.121961934074</v>
      </c>
    </row>
    <row r="9" spans="1:16" ht="14.4" customHeight="1" x14ac:dyDescent="0.3">
      <c r="B9" s="21">
        <v>3</v>
      </c>
      <c r="C9" s="48"/>
      <c r="D9" s="34" t="s">
        <v>6</v>
      </c>
      <c r="E9" s="50">
        <f>'P&amp;L'!F13</f>
        <v>75</v>
      </c>
      <c r="F9" s="50">
        <f>'P&amp;L'!G13</f>
        <v>600</v>
      </c>
      <c r="G9" s="50">
        <f>'P&amp;L'!H13</f>
        <v>1200</v>
      </c>
      <c r="H9" s="50">
        <f>'P&amp;L'!I13</f>
        <v>1800</v>
      </c>
      <c r="I9" s="50">
        <f>'P&amp;L'!J13</f>
        <v>2700</v>
      </c>
      <c r="J9" s="50">
        <f>'P&amp;L'!K13</f>
        <v>3375</v>
      </c>
      <c r="K9" s="50">
        <f>'P&amp;L'!L13</f>
        <v>4218.75</v>
      </c>
      <c r="L9" s="50">
        <f>'P&amp;L'!M13</f>
        <v>5273.4375</v>
      </c>
      <c r="M9" s="50">
        <f>'P&amp;L'!N13</f>
        <v>6591.796875</v>
      </c>
      <c r="N9" s="50">
        <f>'P&amp;L'!O13</f>
        <v>8239.74609375</v>
      </c>
    </row>
    <row r="10" spans="1:16" ht="14.4" customHeight="1" x14ac:dyDescent="0.3">
      <c r="B10" s="21">
        <v>4</v>
      </c>
      <c r="C10" s="48"/>
      <c r="D10" s="34" t="s">
        <v>424</v>
      </c>
      <c r="E10" s="50">
        <f>'P&amp;L'!F15</f>
        <v>150</v>
      </c>
      <c r="F10" s="50">
        <f>'P&amp;L'!G15</f>
        <v>600</v>
      </c>
      <c r="G10" s="50">
        <f>'P&amp;L'!H15</f>
        <v>780</v>
      </c>
      <c r="H10" s="50">
        <f>'P&amp;L'!I15</f>
        <v>1014</v>
      </c>
      <c r="I10" s="50">
        <f>'P&amp;L'!J15</f>
        <v>1318.2</v>
      </c>
      <c r="J10" s="50">
        <f>'P&amp;L'!K15</f>
        <v>1713.66</v>
      </c>
      <c r="K10" s="50">
        <f>'P&amp;L'!L15</f>
        <v>2227.7579999999998</v>
      </c>
      <c r="L10" s="50">
        <f>'P&amp;L'!M15</f>
        <v>2896.0853999999999</v>
      </c>
      <c r="M10" s="50">
        <f>'P&amp;L'!N15</f>
        <v>3764.91102</v>
      </c>
      <c r="N10" s="50">
        <f>'P&amp;L'!O15</f>
        <v>4894.3843260000003</v>
      </c>
    </row>
    <row r="11" spans="1:16" s="4" customFormat="1" ht="14.4" customHeight="1" x14ac:dyDescent="0.3">
      <c r="A11" s="6"/>
      <c r="B11" s="95"/>
      <c r="C11" s="9"/>
      <c r="D11" s="29"/>
      <c r="E11" s="29"/>
      <c r="F11" s="29"/>
      <c r="G11" s="10"/>
      <c r="H11" s="10"/>
      <c r="I11" s="31"/>
      <c r="J11" s="31"/>
      <c r="K11" s="31"/>
      <c r="L11" s="31"/>
      <c r="M11" s="31"/>
      <c r="N11" s="31"/>
      <c r="O11" s="24"/>
    </row>
    <row r="12" spans="1:16" s="4" customFormat="1" ht="14.4" customHeight="1" x14ac:dyDescent="0.3">
      <c r="A12" s="6"/>
      <c r="B12" s="12" t="s">
        <v>1</v>
      </c>
      <c r="D12" s="32" t="s">
        <v>453</v>
      </c>
      <c r="E12" s="14" t="str">
        <f>E6</f>
        <v>2025-26</v>
      </c>
      <c r="F12" s="14" t="str">
        <f t="shared" ref="F12:N12" si="0">F6</f>
        <v>2026-27</v>
      </c>
      <c r="G12" s="14" t="str">
        <f t="shared" si="0"/>
        <v>2027-28</v>
      </c>
      <c r="H12" s="14" t="str">
        <f t="shared" si="0"/>
        <v>2028-29</v>
      </c>
      <c r="I12" s="14" t="str">
        <f t="shared" si="0"/>
        <v>2029-30</v>
      </c>
      <c r="J12" s="14" t="str">
        <f t="shared" si="0"/>
        <v>2030-31</v>
      </c>
      <c r="K12" s="14" t="str">
        <f t="shared" si="0"/>
        <v>2031-32</v>
      </c>
      <c r="L12" s="14" t="str">
        <f t="shared" si="0"/>
        <v>2032-33</v>
      </c>
      <c r="M12" s="14" t="str">
        <f t="shared" si="0"/>
        <v>2033-34</v>
      </c>
      <c r="N12" s="14" t="str">
        <f t="shared" si="0"/>
        <v>2034-35</v>
      </c>
      <c r="O12" s="24"/>
    </row>
    <row r="13" spans="1:16" s="4" customFormat="1" ht="14.4" customHeight="1" x14ac:dyDescent="0.3">
      <c r="A13" s="6"/>
      <c r="B13" s="21">
        <v>1</v>
      </c>
      <c r="C13" s="48"/>
      <c r="D13" s="374" t="s">
        <v>454</v>
      </c>
      <c r="E13" s="393">
        <f>'Revenue generation breakup'!M23</f>
        <v>0.35</v>
      </c>
      <c r="F13" s="393">
        <f>E13</f>
        <v>0.35</v>
      </c>
      <c r="G13" s="393">
        <f t="shared" ref="G13:N13" si="1">F13</f>
        <v>0.35</v>
      </c>
      <c r="H13" s="393">
        <f t="shared" si="1"/>
        <v>0.35</v>
      </c>
      <c r="I13" s="393">
        <f t="shared" si="1"/>
        <v>0.35</v>
      </c>
      <c r="J13" s="393">
        <f t="shared" si="1"/>
        <v>0.35</v>
      </c>
      <c r="K13" s="393">
        <f t="shared" si="1"/>
        <v>0.35</v>
      </c>
      <c r="L13" s="393">
        <f t="shared" si="1"/>
        <v>0.35</v>
      </c>
      <c r="M13" s="393">
        <f t="shared" si="1"/>
        <v>0.35</v>
      </c>
      <c r="N13" s="393">
        <f t="shared" si="1"/>
        <v>0.35</v>
      </c>
      <c r="O13" s="24"/>
    </row>
    <row r="14" spans="1:16" s="4" customFormat="1" ht="14.4" customHeight="1" x14ac:dyDescent="0.3">
      <c r="A14" s="6"/>
      <c r="B14" s="21">
        <v>2</v>
      </c>
      <c r="C14" s="48"/>
      <c r="D14" s="374" t="s">
        <v>455</v>
      </c>
      <c r="E14" s="393">
        <f>'Revenue generation breakup'!D40/'Revenue generation breakup'!D38</f>
        <v>0.22</v>
      </c>
      <c r="F14" s="393">
        <f t="shared" ref="F14:N14" si="2">E14</f>
        <v>0.22</v>
      </c>
      <c r="G14" s="393">
        <f t="shared" si="2"/>
        <v>0.22</v>
      </c>
      <c r="H14" s="393">
        <f t="shared" si="2"/>
        <v>0.22</v>
      </c>
      <c r="I14" s="393">
        <f t="shared" si="2"/>
        <v>0.22</v>
      </c>
      <c r="J14" s="393">
        <f t="shared" si="2"/>
        <v>0.22</v>
      </c>
      <c r="K14" s="393">
        <f t="shared" si="2"/>
        <v>0.22</v>
      </c>
      <c r="L14" s="393">
        <f t="shared" si="2"/>
        <v>0.22</v>
      </c>
      <c r="M14" s="393">
        <f t="shared" si="2"/>
        <v>0.22</v>
      </c>
      <c r="N14" s="393">
        <f t="shared" si="2"/>
        <v>0.22</v>
      </c>
      <c r="O14" s="24"/>
    </row>
    <row r="15" spans="1:16" s="4" customFormat="1" ht="14.4" customHeight="1" x14ac:dyDescent="0.3">
      <c r="A15" s="6"/>
      <c r="B15" s="21">
        <v>3</v>
      </c>
      <c r="C15" s="48"/>
      <c r="D15" s="374" t="s">
        <v>456</v>
      </c>
      <c r="E15" s="393">
        <v>0.65</v>
      </c>
      <c r="F15" s="393">
        <f t="shared" ref="F15:N15" si="3">E15</f>
        <v>0.65</v>
      </c>
      <c r="G15" s="393">
        <f t="shared" si="3"/>
        <v>0.65</v>
      </c>
      <c r="H15" s="393">
        <f t="shared" si="3"/>
        <v>0.65</v>
      </c>
      <c r="I15" s="393">
        <f t="shared" si="3"/>
        <v>0.65</v>
      </c>
      <c r="J15" s="393">
        <f t="shared" si="3"/>
        <v>0.65</v>
      </c>
      <c r="K15" s="393">
        <f t="shared" si="3"/>
        <v>0.65</v>
      </c>
      <c r="L15" s="393">
        <f t="shared" si="3"/>
        <v>0.65</v>
      </c>
      <c r="M15" s="393">
        <f t="shared" si="3"/>
        <v>0.65</v>
      </c>
      <c r="N15" s="393">
        <f t="shared" si="3"/>
        <v>0.65</v>
      </c>
      <c r="O15" s="24"/>
    </row>
    <row r="16" spans="1:16" s="4" customFormat="1" ht="14.4" customHeight="1" x14ac:dyDescent="0.3">
      <c r="A16" s="6"/>
      <c r="B16" s="21">
        <v>4</v>
      </c>
      <c r="C16" s="48"/>
      <c r="D16" s="374" t="s">
        <v>457</v>
      </c>
      <c r="E16" s="393">
        <v>0.78</v>
      </c>
      <c r="F16" s="393">
        <f t="shared" ref="F16:N16" si="4">E16</f>
        <v>0.78</v>
      </c>
      <c r="G16" s="393">
        <f t="shared" si="4"/>
        <v>0.78</v>
      </c>
      <c r="H16" s="393">
        <f t="shared" si="4"/>
        <v>0.78</v>
      </c>
      <c r="I16" s="393">
        <f t="shared" si="4"/>
        <v>0.78</v>
      </c>
      <c r="J16" s="393">
        <f t="shared" si="4"/>
        <v>0.78</v>
      </c>
      <c r="K16" s="393">
        <f t="shared" si="4"/>
        <v>0.78</v>
      </c>
      <c r="L16" s="393">
        <f t="shared" si="4"/>
        <v>0.78</v>
      </c>
      <c r="M16" s="393">
        <f t="shared" si="4"/>
        <v>0.78</v>
      </c>
      <c r="N16" s="393">
        <f t="shared" si="4"/>
        <v>0.78</v>
      </c>
      <c r="O16" s="24"/>
    </row>
    <row r="17" spans="1:16" s="4" customFormat="1" ht="14.4" customHeight="1" x14ac:dyDescent="0.3">
      <c r="A17" s="6"/>
      <c r="B17" s="2"/>
      <c r="G17" s="24"/>
      <c r="H17" s="24"/>
      <c r="I17" s="24"/>
      <c r="J17" s="24"/>
      <c r="K17" s="24"/>
      <c r="L17" s="24"/>
      <c r="M17" s="24"/>
      <c r="N17" s="24"/>
      <c r="O17" s="24"/>
    </row>
    <row r="18" spans="1:16" s="4" customFormat="1" ht="14.4" customHeight="1" x14ac:dyDescent="0.3">
      <c r="A18" s="6"/>
      <c r="B18" s="12" t="s">
        <v>1</v>
      </c>
      <c r="D18" s="32" t="s">
        <v>266</v>
      </c>
      <c r="E18" s="14" t="str">
        <f t="shared" ref="E18:N18" si="5">E6</f>
        <v>2025-26</v>
      </c>
      <c r="F18" s="14" t="str">
        <f t="shared" si="5"/>
        <v>2026-27</v>
      </c>
      <c r="G18" s="14" t="str">
        <f t="shared" si="5"/>
        <v>2027-28</v>
      </c>
      <c r="H18" s="14" t="str">
        <f t="shared" si="5"/>
        <v>2028-29</v>
      </c>
      <c r="I18" s="14" t="str">
        <f t="shared" si="5"/>
        <v>2029-30</v>
      </c>
      <c r="J18" s="14" t="str">
        <f t="shared" si="5"/>
        <v>2030-31</v>
      </c>
      <c r="K18" s="14" t="str">
        <f t="shared" si="5"/>
        <v>2031-32</v>
      </c>
      <c r="L18" s="14" t="str">
        <f t="shared" si="5"/>
        <v>2032-33</v>
      </c>
      <c r="M18" s="14" t="str">
        <f t="shared" si="5"/>
        <v>2033-34</v>
      </c>
      <c r="N18" s="14" t="str">
        <f t="shared" si="5"/>
        <v>2034-35</v>
      </c>
    </row>
    <row r="19" spans="1:16" s="49" customFormat="1" ht="14.4" customHeight="1" x14ac:dyDescent="0.3">
      <c r="A19" s="6"/>
      <c r="B19" s="21">
        <v>1</v>
      </c>
      <c r="C19" s="48"/>
      <c r="D19" s="34" t="s">
        <v>458</v>
      </c>
      <c r="E19" s="50">
        <f>E7*E13</f>
        <v>47.25</v>
      </c>
      <c r="F19" s="50">
        <f t="shared" ref="F19:N19" si="6">F7*F13</f>
        <v>56.699999999999996</v>
      </c>
      <c r="G19" s="50">
        <f t="shared" si="6"/>
        <v>70.875</v>
      </c>
      <c r="H19" s="50">
        <f t="shared" si="6"/>
        <v>88.59375</v>
      </c>
      <c r="I19" s="50">
        <f t="shared" si="6"/>
        <v>110.7421875</v>
      </c>
      <c r="J19" s="50">
        <f t="shared" si="6"/>
        <v>138.427734375</v>
      </c>
      <c r="K19" s="50">
        <f t="shared" si="6"/>
        <v>173.03466796875</v>
      </c>
      <c r="L19" s="50">
        <f t="shared" si="6"/>
        <v>216.2933349609375</v>
      </c>
      <c r="M19" s="50">
        <f t="shared" si="6"/>
        <v>270.36666870117188</v>
      </c>
      <c r="N19" s="50">
        <f t="shared" si="6"/>
        <v>337.95833587646484</v>
      </c>
      <c r="O19" s="51"/>
      <c r="P19" s="3"/>
    </row>
    <row r="20" spans="1:16" ht="14.4" customHeight="1" x14ac:dyDescent="0.3">
      <c r="B20" s="21">
        <f>B19+1</f>
        <v>2</v>
      </c>
      <c r="C20" s="48"/>
      <c r="D20" s="34" t="s">
        <v>459</v>
      </c>
      <c r="E20" s="50">
        <f t="shared" ref="E20:N22" si="7">E8*E14</f>
        <v>59.4</v>
      </c>
      <c r="F20" s="50">
        <f t="shared" si="7"/>
        <v>174.24000000000004</v>
      </c>
      <c r="G20" s="50">
        <f t="shared" si="7"/>
        <v>359.37000000000006</v>
      </c>
      <c r="H20" s="50">
        <f t="shared" si="7"/>
        <v>632.49120000000016</v>
      </c>
      <c r="I20" s="50">
        <f t="shared" si="7"/>
        <v>956.64294000000052</v>
      </c>
      <c r="J20" s="50">
        <f t="shared" si="7"/>
        <v>1278.4228380000006</v>
      </c>
      <c r="K20" s="50">
        <f t="shared" si="7"/>
        <v>1629.9891184500011</v>
      </c>
      <c r="L20" s="50">
        <f t="shared" si="7"/>
        <v>2047.0745693475017</v>
      </c>
      <c r="M20" s="50">
        <f t="shared" si="7"/>
        <v>2501.7935925386269</v>
      </c>
      <c r="N20" s="50">
        <f t="shared" si="7"/>
        <v>2996.8668316254962</v>
      </c>
    </row>
    <row r="21" spans="1:16" s="49" customFormat="1" ht="14.4" customHeight="1" x14ac:dyDescent="0.3">
      <c r="A21" s="6"/>
      <c r="B21" s="21">
        <f>B20+1</f>
        <v>3</v>
      </c>
      <c r="C21" s="48"/>
      <c r="D21" s="34" t="s">
        <v>460</v>
      </c>
      <c r="E21" s="50">
        <f t="shared" si="7"/>
        <v>48.75</v>
      </c>
      <c r="F21" s="50">
        <f t="shared" si="7"/>
        <v>390</v>
      </c>
      <c r="G21" s="50">
        <f t="shared" si="7"/>
        <v>780</v>
      </c>
      <c r="H21" s="50">
        <f t="shared" si="7"/>
        <v>1170</v>
      </c>
      <c r="I21" s="50">
        <f t="shared" si="7"/>
        <v>1755</v>
      </c>
      <c r="J21" s="50">
        <f t="shared" si="7"/>
        <v>2193.75</v>
      </c>
      <c r="K21" s="50">
        <f t="shared" si="7"/>
        <v>2742.1875</v>
      </c>
      <c r="L21" s="50">
        <f t="shared" si="7"/>
        <v>3427.734375</v>
      </c>
      <c r="M21" s="50">
        <f t="shared" si="7"/>
        <v>4284.66796875</v>
      </c>
      <c r="N21" s="50">
        <f t="shared" si="7"/>
        <v>5355.8349609375</v>
      </c>
      <c r="O21" s="51"/>
      <c r="P21" s="3"/>
    </row>
    <row r="22" spans="1:16" s="4" customFormat="1" ht="14.4" customHeight="1" x14ac:dyDescent="0.3">
      <c r="A22" s="6"/>
      <c r="B22" s="21">
        <f>B21+1</f>
        <v>4</v>
      </c>
      <c r="C22" s="48"/>
      <c r="D22" s="34" t="s">
        <v>461</v>
      </c>
      <c r="E22" s="50">
        <f t="shared" si="7"/>
        <v>117</v>
      </c>
      <c r="F22" s="50">
        <f t="shared" si="7"/>
        <v>468</v>
      </c>
      <c r="G22" s="50">
        <f t="shared" si="7"/>
        <v>608.4</v>
      </c>
      <c r="H22" s="50">
        <f t="shared" si="7"/>
        <v>790.92000000000007</v>
      </c>
      <c r="I22" s="50">
        <f t="shared" si="7"/>
        <v>1028.1960000000001</v>
      </c>
      <c r="J22" s="50">
        <f t="shared" si="7"/>
        <v>1336.6548</v>
      </c>
      <c r="K22" s="50">
        <f t="shared" si="7"/>
        <v>1737.6512399999999</v>
      </c>
      <c r="L22" s="50">
        <f t="shared" si="7"/>
        <v>2258.9466120000002</v>
      </c>
      <c r="M22" s="50">
        <f t="shared" si="7"/>
        <v>2936.6305956000001</v>
      </c>
      <c r="N22" s="50">
        <f t="shared" si="7"/>
        <v>3817.6197742800005</v>
      </c>
      <c r="O22" s="24"/>
      <c r="P22" s="3"/>
    </row>
    <row r="23" spans="1:16" ht="14.4" customHeight="1" x14ac:dyDescent="0.3">
      <c r="A23" s="3"/>
    </row>
    <row r="24" spans="1:16" ht="14.4" customHeight="1" x14ac:dyDescent="0.3">
      <c r="B24" s="12" t="s">
        <v>1</v>
      </c>
      <c r="C24" s="4"/>
      <c r="D24" s="32" t="s">
        <v>463</v>
      </c>
      <c r="E24" s="14" t="str">
        <f>E18</f>
        <v>2025-26</v>
      </c>
      <c r="F24" s="14" t="str">
        <f t="shared" ref="F24:N24" si="8">F18</f>
        <v>2026-27</v>
      </c>
      <c r="G24" s="14" t="str">
        <f t="shared" si="8"/>
        <v>2027-28</v>
      </c>
      <c r="H24" s="14" t="str">
        <f t="shared" si="8"/>
        <v>2028-29</v>
      </c>
      <c r="I24" s="14" t="str">
        <f t="shared" si="8"/>
        <v>2029-30</v>
      </c>
      <c r="J24" s="14" t="str">
        <f t="shared" si="8"/>
        <v>2030-31</v>
      </c>
      <c r="K24" s="14" t="str">
        <f t="shared" si="8"/>
        <v>2031-32</v>
      </c>
      <c r="L24" s="14" t="str">
        <f t="shared" si="8"/>
        <v>2032-33</v>
      </c>
      <c r="M24" s="14" t="str">
        <f t="shared" si="8"/>
        <v>2033-34</v>
      </c>
      <c r="N24" s="14" t="str">
        <f t="shared" si="8"/>
        <v>2034-35</v>
      </c>
    </row>
    <row r="25" spans="1:16" ht="14.4" customHeight="1" x14ac:dyDescent="0.3">
      <c r="B25" s="21">
        <v>1</v>
      </c>
      <c r="C25" s="48"/>
      <c r="D25" s="374" t="s">
        <v>464</v>
      </c>
      <c r="E25" s="393">
        <f>'Revenue generation breakup'!M24</f>
        <v>0.25</v>
      </c>
      <c r="F25" s="393">
        <f>E25</f>
        <v>0.25</v>
      </c>
      <c r="G25" s="393">
        <f t="shared" ref="G25:N25" si="9">F25</f>
        <v>0.25</v>
      </c>
      <c r="H25" s="393">
        <f t="shared" si="9"/>
        <v>0.25</v>
      </c>
      <c r="I25" s="393">
        <f t="shared" si="9"/>
        <v>0.25</v>
      </c>
      <c r="J25" s="393">
        <f t="shared" si="9"/>
        <v>0.25</v>
      </c>
      <c r="K25" s="393">
        <f t="shared" si="9"/>
        <v>0.25</v>
      </c>
      <c r="L25" s="393">
        <f t="shared" si="9"/>
        <v>0.25</v>
      </c>
      <c r="M25" s="393">
        <f t="shared" si="9"/>
        <v>0.25</v>
      </c>
      <c r="N25" s="393">
        <f t="shared" si="9"/>
        <v>0.25</v>
      </c>
    </row>
    <row r="26" spans="1:16" ht="14.4" customHeight="1" x14ac:dyDescent="0.3">
      <c r="B26" s="21">
        <v>2</v>
      </c>
      <c r="C26" s="48"/>
      <c r="D26" s="374" t="s">
        <v>465</v>
      </c>
      <c r="E26" s="393">
        <f>'Revenue generation breakup'!D41/'Revenue generation breakup'!D38</f>
        <v>0.25</v>
      </c>
      <c r="F26" s="393">
        <f t="shared" ref="F26:N26" si="10">E26</f>
        <v>0.25</v>
      </c>
      <c r="G26" s="393">
        <f t="shared" si="10"/>
        <v>0.25</v>
      </c>
      <c r="H26" s="393">
        <f t="shared" si="10"/>
        <v>0.25</v>
      </c>
      <c r="I26" s="393">
        <f t="shared" si="10"/>
        <v>0.25</v>
      </c>
      <c r="J26" s="393">
        <f t="shared" si="10"/>
        <v>0.25</v>
      </c>
      <c r="K26" s="393">
        <f t="shared" si="10"/>
        <v>0.25</v>
      </c>
      <c r="L26" s="393">
        <f t="shared" si="10"/>
        <v>0.25</v>
      </c>
      <c r="M26" s="393">
        <f t="shared" si="10"/>
        <v>0.25</v>
      </c>
      <c r="N26" s="393">
        <f t="shared" si="10"/>
        <v>0.25</v>
      </c>
    </row>
    <row r="28" spans="1:16" ht="14.4" customHeight="1" x14ac:dyDescent="0.3">
      <c r="B28" s="12" t="s">
        <v>1</v>
      </c>
      <c r="C28" s="4"/>
      <c r="D28" s="32" t="s">
        <v>463</v>
      </c>
      <c r="E28" s="14" t="str">
        <f>E24</f>
        <v>2025-26</v>
      </c>
      <c r="F28" s="14" t="str">
        <f t="shared" ref="F28:N28" si="11">F24</f>
        <v>2026-27</v>
      </c>
      <c r="G28" s="14" t="str">
        <f t="shared" si="11"/>
        <v>2027-28</v>
      </c>
      <c r="H28" s="14" t="str">
        <f t="shared" si="11"/>
        <v>2028-29</v>
      </c>
      <c r="I28" s="14" t="str">
        <f t="shared" si="11"/>
        <v>2029-30</v>
      </c>
      <c r="J28" s="14" t="str">
        <f t="shared" si="11"/>
        <v>2030-31</v>
      </c>
      <c r="K28" s="14" t="str">
        <f t="shared" si="11"/>
        <v>2031-32</v>
      </c>
      <c r="L28" s="14" t="str">
        <f t="shared" si="11"/>
        <v>2032-33</v>
      </c>
      <c r="M28" s="14" t="str">
        <f t="shared" si="11"/>
        <v>2033-34</v>
      </c>
      <c r="N28" s="14" t="str">
        <f t="shared" si="11"/>
        <v>2034-35</v>
      </c>
    </row>
    <row r="29" spans="1:16" ht="14.4" customHeight="1" x14ac:dyDescent="0.2">
      <c r="B29" s="21">
        <v>1</v>
      </c>
      <c r="C29" s="48"/>
      <c r="D29" s="34" t="s">
        <v>466</v>
      </c>
      <c r="E29" s="50">
        <f>E25*E7</f>
        <v>33.75</v>
      </c>
      <c r="F29" s="50">
        <f t="shared" ref="F29:N29" si="12">F25*F7</f>
        <v>40.5</v>
      </c>
      <c r="G29" s="50">
        <f t="shared" si="12"/>
        <v>50.625</v>
      </c>
      <c r="H29" s="50">
        <f t="shared" si="12"/>
        <v>63.28125</v>
      </c>
      <c r="I29" s="50">
        <f t="shared" si="12"/>
        <v>79.1015625</v>
      </c>
      <c r="J29" s="50">
        <f t="shared" si="12"/>
        <v>98.876953125</v>
      </c>
      <c r="K29" s="50">
        <f t="shared" si="12"/>
        <v>123.59619140625</v>
      </c>
      <c r="L29" s="50">
        <f t="shared" si="12"/>
        <v>154.4952392578125</v>
      </c>
      <c r="M29" s="50">
        <f t="shared" si="12"/>
        <v>193.11904907226563</v>
      </c>
      <c r="N29" s="50">
        <f t="shared" si="12"/>
        <v>241.39881134033203</v>
      </c>
    </row>
    <row r="30" spans="1:16" ht="14.4" customHeight="1" x14ac:dyDescent="0.2">
      <c r="B30" s="21">
        <f>B29+1</f>
        <v>2</v>
      </c>
      <c r="C30" s="48"/>
      <c r="D30" s="34" t="s">
        <v>467</v>
      </c>
      <c r="E30" s="50">
        <f>E26*E8</f>
        <v>67.5</v>
      </c>
      <c r="F30" s="50">
        <f t="shared" ref="F30:N30" si="13">F26*F8</f>
        <v>198.00000000000003</v>
      </c>
      <c r="G30" s="50">
        <f t="shared" si="13"/>
        <v>408.37500000000006</v>
      </c>
      <c r="H30" s="50">
        <f t="shared" si="13"/>
        <v>718.74000000000024</v>
      </c>
      <c r="I30" s="50">
        <f t="shared" si="13"/>
        <v>1087.0942500000006</v>
      </c>
      <c r="J30" s="50">
        <f t="shared" si="13"/>
        <v>1452.7532250000008</v>
      </c>
      <c r="K30" s="50">
        <f t="shared" si="13"/>
        <v>1852.2603618750013</v>
      </c>
      <c r="L30" s="50">
        <f t="shared" si="13"/>
        <v>2326.2211015312519</v>
      </c>
      <c r="M30" s="50">
        <f t="shared" si="13"/>
        <v>2842.9472642484398</v>
      </c>
      <c r="N30" s="50">
        <f t="shared" si="13"/>
        <v>3405.5304904835184</v>
      </c>
    </row>
    <row r="32" spans="1:16" ht="14.4" customHeight="1" x14ac:dyDescent="0.2">
      <c r="B32" s="12" t="s">
        <v>1</v>
      </c>
      <c r="C32" s="4"/>
      <c r="D32" s="32" t="s">
        <v>468</v>
      </c>
      <c r="E32" s="14" t="str">
        <f>E28</f>
        <v>2025-26</v>
      </c>
      <c r="F32" s="14" t="str">
        <f t="shared" ref="F32:N32" si="14">F28</f>
        <v>2026-27</v>
      </c>
      <c r="G32" s="14" t="str">
        <f t="shared" si="14"/>
        <v>2027-28</v>
      </c>
      <c r="H32" s="14" t="str">
        <f t="shared" si="14"/>
        <v>2028-29</v>
      </c>
      <c r="I32" s="14" t="str">
        <f t="shared" si="14"/>
        <v>2029-30</v>
      </c>
      <c r="J32" s="14" t="str">
        <f t="shared" si="14"/>
        <v>2030-31</v>
      </c>
      <c r="K32" s="14" t="str">
        <f t="shared" si="14"/>
        <v>2031-32</v>
      </c>
      <c r="L32" s="14" t="str">
        <f t="shared" si="14"/>
        <v>2032-33</v>
      </c>
      <c r="M32" s="14" t="str">
        <f t="shared" si="14"/>
        <v>2033-34</v>
      </c>
      <c r="N32" s="14" t="str">
        <f t="shared" si="14"/>
        <v>2034-35</v>
      </c>
    </row>
    <row r="33" spans="2:14" ht="14.4" customHeight="1" x14ac:dyDescent="0.2">
      <c r="B33" s="21">
        <v>1</v>
      </c>
      <c r="C33" s="48"/>
      <c r="D33" s="374" t="s">
        <v>469</v>
      </c>
      <c r="E33" s="393">
        <f>'Revenue generation breakup'!M25</f>
        <v>0.05</v>
      </c>
      <c r="F33" s="393">
        <f>E33</f>
        <v>0.05</v>
      </c>
      <c r="G33" s="393">
        <f t="shared" ref="G33:N33" si="15">F33</f>
        <v>0.05</v>
      </c>
      <c r="H33" s="393">
        <f t="shared" si="15"/>
        <v>0.05</v>
      </c>
      <c r="I33" s="393">
        <f t="shared" si="15"/>
        <v>0.05</v>
      </c>
      <c r="J33" s="393">
        <f t="shared" si="15"/>
        <v>0.05</v>
      </c>
      <c r="K33" s="393">
        <f t="shared" si="15"/>
        <v>0.05</v>
      </c>
      <c r="L33" s="393">
        <f t="shared" si="15"/>
        <v>0.05</v>
      </c>
      <c r="M33" s="393">
        <f t="shared" si="15"/>
        <v>0.05</v>
      </c>
      <c r="N33" s="393">
        <f t="shared" si="15"/>
        <v>0.05</v>
      </c>
    </row>
    <row r="34" spans="2:14" ht="14.4" customHeight="1" x14ac:dyDescent="0.2">
      <c r="B34" s="21">
        <v>2</v>
      </c>
      <c r="C34" s="48"/>
      <c r="D34" s="374" t="s">
        <v>470</v>
      </c>
      <c r="E34" s="393">
        <f>'Revenue generation breakup'!D44/'Revenue generation breakup'!D38</f>
        <v>0.05</v>
      </c>
      <c r="F34" s="393">
        <f t="shared" ref="F34:N34" si="16">E34</f>
        <v>0.05</v>
      </c>
      <c r="G34" s="393">
        <f t="shared" si="16"/>
        <v>0.05</v>
      </c>
      <c r="H34" s="393">
        <f t="shared" si="16"/>
        <v>0.05</v>
      </c>
      <c r="I34" s="393">
        <f t="shared" si="16"/>
        <v>0.05</v>
      </c>
      <c r="J34" s="393">
        <f t="shared" si="16"/>
        <v>0.05</v>
      </c>
      <c r="K34" s="393">
        <f t="shared" si="16"/>
        <v>0.05</v>
      </c>
      <c r="L34" s="393">
        <f t="shared" si="16"/>
        <v>0.05</v>
      </c>
      <c r="M34" s="393">
        <f t="shared" si="16"/>
        <v>0.05</v>
      </c>
      <c r="N34" s="393">
        <f t="shared" si="16"/>
        <v>0.05</v>
      </c>
    </row>
    <row r="36" spans="2:14" ht="14.4" customHeight="1" x14ac:dyDescent="0.2">
      <c r="B36" s="12" t="s">
        <v>1</v>
      </c>
      <c r="C36" s="4"/>
      <c r="D36" s="32" t="str">
        <f>D32</f>
        <v>Promotional Costs</v>
      </c>
      <c r="E36" s="14" t="str">
        <f>E32</f>
        <v>2025-26</v>
      </c>
      <c r="F36" s="14" t="str">
        <f t="shared" ref="F36:N36" si="17">F32</f>
        <v>2026-27</v>
      </c>
      <c r="G36" s="14" t="str">
        <f t="shared" si="17"/>
        <v>2027-28</v>
      </c>
      <c r="H36" s="14" t="str">
        <f t="shared" si="17"/>
        <v>2028-29</v>
      </c>
      <c r="I36" s="14" t="str">
        <f t="shared" si="17"/>
        <v>2029-30</v>
      </c>
      <c r="J36" s="14" t="str">
        <f t="shared" si="17"/>
        <v>2030-31</v>
      </c>
      <c r="K36" s="14" t="str">
        <f t="shared" si="17"/>
        <v>2031-32</v>
      </c>
      <c r="L36" s="14" t="str">
        <f t="shared" si="17"/>
        <v>2032-33</v>
      </c>
      <c r="M36" s="14" t="str">
        <f t="shared" si="17"/>
        <v>2033-34</v>
      </c>
      <c r="N36" s="14" t="str">
        <f t="shared" si="17"/>
        <v>2034-35</v>
      </c>
    </row>
    <row r="37" spans="2:14" ht="14.4" customHeight="1" x14ac:dyDescent="0.2">
      <c r="B37" s="21">
        <v>1</v>
      </c>
      <c r="C37" s="48"/>
      <c r="D37" s="34" t="s">
        <v>471</v>
      </c>
      <c r="E37" s="50">
        <f>E33*E7</f>
        <v>6.75</v>
      </c>
      <c r="F37" s="50">
        <f t="shared" ref="F37:N37" si="18">F33*F7</f>
        <v>8.1</v>
      </c>
      <c r="G37" s="50">
        <f t="shared" si="18"/>
        <v>10.125</v>
      </c>
      <c r="H37" s="50">
        <f t="shared" si="18"/>
        <v>12.65625</v>
      </c>
      <c r="I37" s="50">
        <f t="shared" si="18"/>
        <v>15.8203125</v>
      </c>
      <c r="J37" s="50">
        <f t="shared" si="18"/>
        <v>19.775390625</v>
      </c>
      <c r="K37" s="50">
        <f t="shared" si="18"/>
        <v>24.71923828125</v>
      </c>
      <c r="L37" s="50">
        <f t="shared" si="18"/>
        <v>30.8990478515625</v>
      </c>
      <c r="M37" s="50">
        <f t="shared" si="18"/>
        <v>38.623809814453125</v>
      </c>
      <c r="N37" s="50">
        <f t="shared" si="18"/>
        <v>48.279762268066406</v>
      </c>
    </row>
    <row r="38" spans="2:14" ht="14.4" customHeight="1" x14ac:dyDescent="0.2">
      <c r="B38" s="21">
        <f>B37+1</f>
        <v>2</v>
      </c>
      <c r="C38" s="48"/>
      <c r="D38" s="34" t="s">
        <v>472</v>
      </c>
      <c r="E38" s="50">
        <f>E34*E8</f>
        <v>13.5</v>
      </c>
      <c r="F38" s="50">
        <f t="shared" ref="F38:N38" si="19">F34*F8</f>
        <v>39.600000000000009</v>
      </c>
      <c r="G38" s="50">
        <f t="shared" si="19"/>
        <v>81.675000000000011</v>
      </c>
      <c r="H38" s="50">
        <f t="shared" si="19"/>
        <v>143.74800000000005</v>
      </c>
      <c r="I38" s="50">
        <f t="shared" si="19"/>
        <v>217.41885000000013</v>
      </c>
      <c r="J38" s="50">
        <f t="shared" si="19"/>
        <v>290.5506450000002</v>
      </c>
      <c r="K38" s="50">
        <f t="shared" si="19"/>
        <v>370.45207237500028</v>
      </c>
      <c r="L38" s="50">
        <f t="shared" si="19"/>
        <v>465.24422030625038</v>
      </c>
      <c r="M38" s="50">
        <f t="shared" si="19"/>
        <v>568.58945284968797</v>
      </c>
      <c r="N38" s="50">
        <f t="shared" si="19"/>
        <v>681.1060980967037</v>
      </c>
    </row>
    <row r="40" spans="2:14" ht="14.4" customHeight="1" x14ac:dyDescent="0.2">
      <c r="B40" s="12" t="s">
        <v>1</v>
      </c>
      <c r="C40" s="4"/>
      <c r="D40" s="32" t="s">
        <v>473</v>
      </c>
      <c r="E40" s="14" t="str">
        <f>E36</f>
        <v>2025-26</v>
      </c>
      <c r="F40" s="14" t="str">
        <f t="shared" ref="F40:N40" si="20">F36</f>
        <v>2026-27</v>
      </c>
      <c r="G40" s="14" t="str">
        <f t="shared" si="20"/>
        <v>2027-28</v>
      </c>
      <c r="H40" s="14" t="str">
        <f t="shared" si="20"/>
        <v>2028-29</v>
      </c>
      <c r="I40" s="14" t="str">
        <f t="shared" si="20"/>
        <v>2029-30</v>
      </c>
      <c r="J40" s="14" t="str">
        <f t="shared" si="20"/>
        <v>2030-31</v>
      </c>
      <c r="K40" s="14" t="str">
        <f t="shared" si="20"/>
        <v>2031-32</v>
      </c>
      <c r="L40" s="14" t="str">
        <f t="shared" si="20"/>
        <v>2032-33</v>
      </c>
      <c r="M40" s="14" t="str">
        <f t="shared" si="20"/>
        <v>2033-34</v>
      </c>
      <c r="N40" s="14" t="str">
        <f t="shared" si="20"/>
        <v>2034-35</v>
      </c>
    </row>
    <row r="41" spans="2:14" ht="14.4" customHeight="1" x14ac:dyDescent="0.2">
      <c r="B41" s="21">
        <v>1</v>
      </c>
      <c r="C41" s="48"/>
      <c r="D41" s="374" t="s">
        <v>474</v>
      </c>
      <c r="E41" s="393">
        <f>'Revenue generation breakup'!M26</f>
        <v>0.1</v>
      </c>
      <c r="F41" s="393">
        <f>E41</f>
        <v>0.1</v>
      </c>
      <c r="G41" s="393">
        <f t="shared" ref="G41:N41" si="21">F41</f>
        <v>0.1</v>
      </c>
      <c r="H41" s="393">
        <f t="shared" si="21"/>
        <v>0.1</v>
      </c>
      <c r="I41" s="393">
        <f t="shared" si="21"/>
        <v>0.1</v>
      </c>
      <c r="J41" s="393">
        <f t="shared" si="21"/>
        <v>0.1</v>
      </c>
      <c r="K41" s="393">
        <f t="shared" si="21"/>
        <v>0.1</v>
      </c>
      <c r="L41" s="393">
        <f t="shared" si="21"/>
        <v>0.1</v>
      </c>
      <c r="M41" s="393">
        <f t="shared" si="21"/>
        <v>0.1</v>
      </c>
      <c r="N41" s="393">
        <f t="shared" si="21"/>
        <v>0.1</v>
      </c>
    </row>
    <row r="43" spans="2:14" ht="14.4" customHeight="1" x14ac:dyDescent="0.2">
      <c r="B43" s="12" t="s">
        <v>1</v>
      </c>
      <c r="C43" s="4"/>
      <c r="D43" s="32" t="str">
        <f t="shared" ref="D43:N43" si="22">D40</f>
        <v>Other Expenses</v>
      </c>
      <c r="E43" s="14" t="str">
        <f t="shared" si="22"/>
        <v>2025-26</v>
      </c>
      <c r="F43" s="14" t="str">
        <f t="shared" si="22"/>
        <v>2026-27</v>
      </c>
      <c r="G43" s="14" t="str">
        <f t="shared" si="22"/>
        <v>2027-28</v>
      </c>
      <c r="H43" s="14" t="str">
        <f t="shared" si="22"/>
        <v>2028-29</v>
      </c>
      <c r="I43" s="14" t="str">
        <f t="shared" si="22"/>
        <v>2029-30</v>
      </c>
      <c r="J43" s="14" t="str">
        <f t="shared" si="22"/>
        <v>2030-31</v>
      </c>
      <c r="K43" s="14" t="str">
        <f t="shared" si="22"/>
        <v>2031-32</v>
      </c>
      <c r="L43" s="14" t="str">
        <f t="shared" si="22"/>
        <v>2032-33</v>
      </c>
      <c r="M43" s="14" t="str">
        <f t="shared" si="22"/>
        <v>2033-34</v>
      </c>
      <c r="N43" s="14" t="str">
        <f t="shared" si="22"/>
        <v>2034-35</v>
      </c>
    </row>
    <row r="44" spans="2:14" ht="14.4" customHeight="1" x14ac:dyDescent="0.2">
      <c r="B44" s="21">
        <v>1</v>
      </c>
      <c r="C44" s="48"/>
      <c r="D44" s="34" t="s">
        <v>475</v>
      </c>
      <c r="E44" s="50">
        <f>E41*E7</f>
        <v>13.5</v>
      </c>
      <c r="F44" s="50">
        <f t="shared" ref="F44:N44" si="23">F41*F7</f>
        <v>16.2</v>
      </c>
      <c r="G44" s="50">
        <f t="shared" si="23"/>
        <v>20.25</v>
      </c>
      <c r="H44" s="50">
        <f t="shared" si="23"/>
        <v>25.3125</v>
      </c>
      <c r="I44" s="50">
        <f t="shared" si="23"/>
        <v>31.640625</v>
      </c>
      <c r="J44" s="50">
        <f t="shared" si="23"/>
        <v>39.55078125</v>
      </c>
      <c r="K44" s="50">
        <f t="shared" si="23"/>
        <v>49.4384765625</v>
      </c>
      <c r="L44" s="50">
        <f t="shared" si="23"/>
        <v>61.798095703125</v>
      </c>
      <c r="M44" s="50">
        <f t="shared" si="23"/>
        <v>77.24761962890625</v>
      </c>
      <c r="N44" s="50">
        <f t="shared" si="23"/>
        <v>96.559524536132813</v>
      </c>
    </row>
    <row r="46" spans="2:14" ht="14.4" customHeight="1" x14ac:dyDescent="0.2">
      <c r="B46" s="12" t="s">
        <v>1</v>
      </c>
      <c r="C46" s="4"/>
      <c r="D46" s="32" t="s">
        <v>476</v>
      </c>
      <c r="E46" s="14" t="str">
        <f>E43</f>
        <v>2025-26</v>
      </c>
      <c r="F46" s="14" t="str">
        <f t="shared" ref="F46:N46" si="24">F43</f>
        <v>2026-27</v>
      </c>
      <c r="G46" s="14" t="str">
        <f t="shared" si="24"/>
        <v>2027-28</v>
      </c>
      <c r="H46" s="14" t="str">
        <f t="shared" si="24"/>
        <v>2028-29</v>
      </c>
      <c r="I46" s="14" t="str">
        <f t="shared" si="24"/>
        <v>2029-30</v>
      </c>
      <c r="J46" s="14" t="str">
        <f t="shared" si="24"/>
        <v>2030-31</v>
      </c>
      <c r="K46" s="14" t="str">
        <f t="shared" si="24"/>
        <v>2031-32</v>
      </c>
      <c r="L46" s="14" t="str">
        <f t="shared" si="24"/>
        <v>2032-33</v>
      </c>
      <c r="M46" s="14" t="str">
        <f t="shared" si="24"/>
        <v>2033-34</v>
      </c>
      <c r="N46" s="14" t="str">
        <f t="shared" si="24"/>
        <v>2034-35</v>
      </c>
    </row>
    <row r="47" spans="2:14" ht="14.4" customHeight="1" x14ac:dyDescent="0.2">
      <c r="B47" s="21">
        <v>1</v>
      </c>
      <c r="C47" s="48"/>
      <c r="D47" s="374" t="s">
        <v>477</v>
      </c>
      <c r="E47" s="393">
        <f>'Revenue generation breakup'!D42/'Revenue generation breakup'!D38</f>
        <v>0.1</v>
      </c>
      <c r="F47" s="393">
        <f>E47</f>
        <v>0.1</v>
      </c>
      <c r="G47" s="393">
        <f t="shared" ref="G47:N47" si="25">F47</f>
        <v>0.1</v>
      </c>
      <c r="H47" s="393">
        <f t="shared" si="25"/>
        <v>0.1</v>
      </c>
      <c r="I47" s="393">
        <f t="shared" si="25"/>
        <v>0.1</v>
      </c>
      <c r="J47" s="393">
        <f t="shared" si="25"/>
        <v>0.1</v>
      </c>
      <c r="K47" s="393">
        <f t="shared" si="25"/>
        <v>0.1</v>
      </c>
      <c r="L47" s="393">
        <f t="shared" si="25"/>
        <v>0.1</v>
      </c>
      <c r="M47" s="393">
        <f t="shared" si="25"/>
        <v>0.1</v>
      </c>
      <c r="N47" s="393">
        <f t="shared" si="25"/>
        <v>0.1</v>
      </c>
    </row>
    <row r="48" spans="2:14" ht="14.4" customHeight="1" x14ac:dyDescent="0.2">
      <c r="B48" s="21">
        <v>2</v>
      </c>
      <c r="C48" s="48"/>
      <c r="D48" s="374" t="s">
        <v>478</v>
      </c>
      <c r="E48" s="393">
        <f>'Revenue generation breakup'!D43/'Revenue generation breakup'!D38</f>
        <v>0.04</v>
      </c>
      <c r="F48" s="393">
        <f t="shared" ref="F48:N48" si="26">E48</f>
        <v>0.04</v>
      </c>
      <c r="G48" s="393">
        <f t="shared" si="26"/>
        <v>0.04</v>
      </c>
      <c r="H48" s="393">
        <f t="shared" si="26"/>
        <v>0.04</v>
      </c>
      <c r="I48" s="393">
        <f t="shared" si="26"/>
        <v>0.04</v>
      </c>
      <c r="J48" s="393">
        <f t="shared" si="26"/>
        <v>0.04</v>
      </c>
      <c r="K48" s="393">
        <f t="shared" si="26"/>
        <v>0.04</v>
      </c>
      <c r="L48" s="393">
        <f t="shared" si="26"/>
        <v>0.04</v>
      </c>
      <c r="M48" s="393">
        <f t="shared" si="26"/>
        <v>0.04</v>
      </c>
      <c r="N48" s="393">
        <f t="shared" si="26"/>
        <v>0.04</v>
      </c>
    </row>
    <row r="50" spans="2:14" ht="14.4" customHeight="1" x14ac:dyDescent="0.2">
      <c r="B50" s="12" t="s">
        <v>1</v>
      </c>
      <c r="C50" s="4"/>
      <c r="D50" s="32" t="str">
        <f>D46</f>
        <v>Millet Cafeteria - Expenses</v>
      </c>
      <c r="E50" s="14" t="str">
        <f>E46</f>
        <v>2025-26</v>
      </c>
      <c r="F50" s="14" t="str">
        <f t="shared" ref="F50:N50" si="27">F46</f>
        <v>2026-27</v>
      </c>
      <c r="G50" s="14" t="str">
        <f t="shared" si="27"/>
        <v>2027-28</v>
      </c>
      <c r="H50" s="14" t="str">
        <f t="shared" si="27"/>
        <v>2028-29</v>
      </c>
      <c r="I50" s="14" t="str">
        <f t="shared" si="27"/>
        <v>2029-30</v>
      </c>
      <c r="J50" s="14" t="str">
        <f t="shared" si="27"/>
        <v>2030-31</v>
      </c>
      <c r="K50" s="14" t="str">
        <f t="shared" si="27"/>
        <v>2031-32</v>
      </c>
      <c r="L50" s="14" t="str">
        <f t="shared" si="27"/>
        <v>2032-33</v>
      </c>
      <c r="M50" s="14" t="str">
        <f t="shared" si="27"/>
        <v>2033-34</v>
      </c>
      <c r="N50" s="14" t="str">
        <f t="shared" si="27"/>
        <v>2034-35</v>
      </c>
    </row>
    <row r="51" spans="2:14" ht="14.4" customHeight="1" x14ac:dyDescent="0.2">
      <c r="B51" s="21">
        <v>1</v>
      </c>
      <c r="C51" s="48"/>
      <c r="D51" s="34" t="s">
        <v>479</v>
      </c>
      <c r="E51" s="50">
        <f>E47*E8</f>
        <v>27</v>
      </c>
      <c r="F51" s="50">
        <f t="shared" ref="F51:N51" si="28">F47*F8</f>
        <v>79.200000000000017</v>
      </c>
      <c r="G51" s="50">
        <f t="shared" si="28"/>
        <v>163.35000000000002</v>
      </c>
      <c r="H51" s="50">
        <f t="shared" si="28"/>
        <v>287.49600000000009</v>
      </c>
      <c r="I51" s="50">
        <f t="shared" si="28"/>
        <v>434.83770000000027</v>
      </c>
      <c r="J51" s="50">
        <f t="shared" si="28"/>
        <v>581.1012900000004</v>
      </c>
      <c r="K51" s="50">
        <f t="shared" si="28"/>
        <v>740.90414475000057</v>
      </c>
      <c r="L51" s="50">
        <f t="shared" si="28"/>
        <v>930.48844061250077</v>
      </c>
      <c r="M51" s="50">
        <f t="shared" si="28"/>
        <v>1137.1789056993759</v>
      </c>
      <c r="N51" s="50">
        <f t="shared" si="28"/>
        <v>1362.2121961934074</v>
      </c>
    </row>
    <row r="52" spans="2:14" ht="14.4" customHeight="1" x14ac:dyDescent="0.2">
      <c r="B52" s="21">
        <f>B51+1</f>
        <v>2</v>
      </c>
      <c r="C52" s="48"/>
      <c r="D52" s="34" t="s">
        <v>480</v>
      </c>
      <c r="E52" s="50">
        <f>E48*E8</f>
        <v>10.8</v>
      </c>
      <c r="F52" s="50">
        <f t="shared" ref="F52:N52" si="29">F48*F8</f>
        <v>31.680000000000007</v>
      </c>
      <c r="G52" s="50">
        <f t="shared" si="29"/>
        <v>65.34</v>
      </c>
      <c r="H52" s="50">
        <f t="shared" si="29"/>
        <v>114.99840000000005</v>
      </c>
      <c r="I52" s="50">
        <f t="shared" si="29"/>
        <v>173.93508000000008</v>
      </c>
      <c r="J52" s="50">
        <f t="shared" si="29"/>
        <v>232.44051600000014</v>
      </c>
      <c r="K52" s="50">
        <f t="shared" si="29"/>
        <v>296.36165790000024</v>
      </c>
      <c r="L52" s="50">
        <f t="shared" si="29"/>
        <v>372.19537624500032</v>
      </c>
      <c r="M52" s="50">
        <f t="shared" si="29"/>
        <v>454.87156227975038</v>
      </c>
      <c r="N52" s="50">
        <f t="shared" si="29"/>
        <v>544.88487847736292</v>
      </c>
    </row>
  </sheetData>
  <pageMargins left="0.70866141732283472" right="0.70866141732283472" top="0.74803149606299213" bottom="0.74803149606299213" header="0.31496062992125984" footer="0.31496062992125984"/>
  <pageSetup paperSize="9" scale="81" orientation="portrait" errors="blank" r:id="rId1"/>
  <headerFooter>
    <oddFooter>&amp;C&amp;"Ubuntu,Regular"&amp;K346D9CPage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6D2F-CE57-4849-8880-4CD74FA501CF}">
  <sheetPr>
    <tabColor rgb="FF7030A0"/>
    <pageSetUpPr fitToPage="1"/>
  </sheetPr>
  <dimension ref="A1:Y90"/>
  <sheetViews>
    <sheetView showGridLines="0" view="pageBreakPreview" zoomScale="85" zoomScaleNormal="100" zoomScaleSheetLayoutView="85" workbookViewId="0">
      <selection activeCell="F9" sqref="F9"/>
    </sheetView>
  </sheetViews>
  <sheetFormatPr defaultColWidth="8.6640625" defaultRowHeight="14.4" x14ac:dyDescent="0.3"/>
  <cols>
    <col min="1" max="1" width="4.33203125" style="3" customWidth="1"/>
    <col min="2" max="2" width="18.44140625" style="3" customWidth="1"/>
    <col min="3" max="3" width="10.88671875" style="3" customWidth="1"/>
    <col min="4" max="4" width="12.5546875" style="3" bestFit="1" customWidth="1"/>
    <col min="5" max="5" width="0.77734375" style="3" customWidth="1"/>
    <col min="6" max="6" width="10.77734375" style="3" bestFit="1" customWidth="1"/>
    <col min="7" max="7" width="0.77734375" style="3" customWidth="1"/>
    <col min="8" max="8" width="10.77734375" style="3" bestFit="1" customWidth="1"/>
    <col min="9" max="9" width="0.77734375" style="3" customWidth="1"/>
    <col min="10" max="10" width="10.77734375" style="3" bestFit="1" customWidth="1"/>
    <col min="11" max="11" width="0.77734375" style="3" customWidth="1"/>
    <col min="12" max="12" width="10.77734375" style="3" bestFit="1" customWidth="1"/>
    <col min="13" max="13" width="0.77734375" style="3" customWidth="1"/>
    <col min="14" max="14" width="10.77734375" style="3" customWidth="1"/>
    <col min="15" max="15" width="0.77734375" style="3" customWidth="1"/>
    <col min="16" max="16" width="10.77734375" style="3" customWidth="1"/>
    <col min="17" max="17" width="0.77734375" style="3" customWidth="1"/>
    <col min="18" max="18" width="10.77734375" style="3" customWidth="1"/>
    <col min="19" max="19" width="0.77734375" style="3" customWidth="1"/>
    <col min="20" max="20" width="10.77734375" style="3" customWidth="1"/>
    <col min="21" max="21" width="0.77734375" style="3" customWidth="1"/>
    <col min="22" max="22" width="10.77734375" style="3" customWidth="1"/>
    <col min="23" max="23" width="0.77734375" style="3" customWidth="1"/>
    <col min="24" max="24" width="11" style="3" customWidth="1"/>
    <col min="25" max="25" width="14.77734375" style="3" bestFit="1" customWidth="1"/>
    <col min="26" max="16384" width="8.6640625" style="3"/>
  </cols>
  <sheetData>
    <row r="1" spans="1:25" x14ac:dyDescent="0.3">
      <c r="A1" s="22"/>
    </row>
    <row r="2" spans="1:25" ht="21" x14ac:dyDescent="0.4">
      <c r="B2" s="73" t="s">
        <v>80</v>
      </c>
      <c r="C2" s="74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5" s="4" customFormat="1" ht="18" customHeight="1" x14ac:dyDescent="0.3">
      <c r="B3" s="29"/>
      <c r="C3" s="9"/>
      <c r="D3" s="29"/>
      <c r="E3" s="29"/>
      <c r="F3" s="29"/>
      <c r="G3" s="9"/>
      <c r="H3" s="10"/>
      <c r="I3" s="10"/>
      <c r="J3" s="10"/>
      <c r="K3" s="10"/>
      <c r="L3" s="10"/>
      <c r="M3" s="10"/>
      <c r="N3" s="31"/>
      <c r="O3" s="31"/>
      <c r="P3" s="31"/>
      <c r="Q3" s="31"/>
      <c r="R3" s="31"/>
      <c r="S3" s="31"/>
      <c r="T3" s="31"/>
      <c r="U3" s="31"/>
      <c r="W3" s="31"/>
      <c r="X3" s="31" t="str">
        <f>Do</f>
        <v>(₹ in Lakhs)</v>
      </c>
      <c r="Y3" s="30"/>
    </row>
    <row r="4" spans="1:25" s="4" customFormat="1" ht="4.95" customHeight="1" x14ac:dyDescent="0.3"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5" x14ac:dyDescent="0.3">
      <c r="B5" s="457" t="s">
        <v>2</v>
      </c>
      <c r="C5" s="457"/>
      <c r="D5" s="457"/>
      <c r="F5" s="14" t="str">
        <f>WC!E6</f>
        <v>2025-26</v>
      </c>
      <c r="H5" s="14" t="str">
        <f>WC!F6</f>
        <v>2026-27</v>
      </c>
      <c r="I5" s="4"/>
      <c r="J5" s="14" t="str">
        <f>WC!G6</f>
        <v>2027-28</v>
      </c>
      <c r="K5" s="4"/>
      <c r="L5" s="14" t="str">
        <f>WC!H6</f>
        <v>2028-29</v>
      </c>
      <c r="M5" s="4"/>
      <c r="N5" s="14" t="str">
        <f>WC!I6</f>
        <v>2029-30</v>
      </c>
      <c r="O5" s="75"/>
      <c r="P5" s="14" t="str">
        <f>WC!J6</f>
        <v>2030-31</v>
      </c>
      <c r="Q5" s="75"/>
      <c r="R5" s="14" t="str">
        <f>WC!K6</f>
        <v>2031-32</v>
      </c>
      <c r="S5" s="75"/>
      <c r="T5" s="14" t="str">
        <f>WC!L6</f>
        <v>2032-33</v>
      </c>
      <c r="U5" s="75"/>
      <c r="V5" s="14" t="str">
        <f>WC!M6</f>
        <v>2033-34</v>
      </c>
      <c r="W5" s="75"/>
      <c r="X5" s="14" t="str">
        <f>WC!N6</f>
        <v>2034-35</v>
      </c>
    </row>
    <row r="6" spans="1:25" ht="4.95" customHeight="1" x14ac:dyDescent="0.3"/>
    <row r="7" spans="1:25" x14ac:dyDescent="0.3">
      <c r="B7" s="458" t="s">
        <v>81</v>
      </c>
      <c r="C7" s="458"/>
      <c r="D7" s="458"/>
      <c r="E7"/>
      <c r="F7"/>
    </row>
    <row r="8" spans="1:25" ht="4.95" customHeight="1" x14ac:dyDescent="0.3"/>
    <row r="9" spans="1:25" ht="13.5" customHeight="1" x14ac:dyDescent="0.3">
      <c r="B9" s="76"/>
      <c r="C9" s="16"/>
      <c r="D9" s="77" t="s">
        <v>82</v>
      </c>
      <c r="F9" s="78">
        <f>323333.3/100000</f>
        <v>3.233333</v>
      </c>
      <c r="G9" s="79"/>
      <c r="H9" s="78">
        <f>F15</f>
        <v>1.1911700617593421</v>
      </c>
      <c r="I9" s="80"/>
      <c r="J9" s="78">
        <f>H15</f>
        <v>0.43883080277588327</v>
      </c>
      <c r="K9" s="80"/>
      <c r="L9" s="78">
        <f>J15</f>
        <v>0.16166665000000019</v>
      </c>
      <c r="M9" s="80"/>
      <c r="N9" s="78">
        <f>L15</f>
        <v>5.9558503087967174E-2</v>
      </c>
      <c r="O9" s="80"/>
      <c r="P9" s="78">
        <f>N15</f>
        <v>2.1941540138794187E-2</v>
      </c>
      <c r="Q9" s="80"/>
      <c r="R9" s="78">
        <f>P15</f>
        <v>8.0833325000000174E-3</v>
      </c>
      <c r="S9" s="80"/>
      <c r="T9" s="78">
        <f>R15</f>
        <v>2.9779251543983615E-3</v>
      </c>
      <c r="U9" s="80"/>
      <c r="V9" s="78">
        <f>T15</f>
        <v>1.0970770069397104E-3</v>
      </c>
      <c r="W9" s="80"/>
      <c r="X9" s="78">
        <f>V15</f>
        <v>4.0416662500000126E-4</v>
      </c>
    </row>
    <row r="10" spans="1:25" ht="4.95" customHeight="1" x14ac:dyDescent="0.3">
      <c r="B10" s="34"/>
      <c r="C10" s="16"/>
      <c r="D10" s="16"/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79"/>
      <c r="Q10" s="80"/>
      <c r="R10" s="79"/>
      <c r="S10" s="80"/>
      <c r="T10" s="79"/>
      <c r="U10" s="80"/>
      <c r="V10" s="79"/>
      <c r="W10" s="80"/>
      <c r="X10" s="79"/>
    </row>
    <row r="11" spans="1:25" ht="15" customHeight="1" x14ac:dyDescent="0.3">
      <c r="B11" s="456" t="s">
        <v>83</v>
      </c>
      <c r="C11" s="16"/>
      <c r="D11" s="77" t="s">
        <v>84</v>
      </c>
      <c r="F11" s="78">
        <v>0</v>
      </c>
      <c r="G11" s="79"/>
      <c r="H11" s="78">
        <v>0</v>
      </c>
      <c r="I11" s="79"/>
      <c r="J11" s="78">
        <v>0</v>
      </c>
      <c r="K11" s="79"/>
      <c r="L11" s="78">
        <v>0</v>
      </c>
      <c r="M11" s="79"/>
      <c r="N11" s="78">
        <v>0</v>
      </c>
      <c r="O11" s="80"/>
      <c r="P11" s="78">
        <v>0</v>
      </c>
      <c r="Q11" s="80"/>
      <c r="R11" s="78">
        <v>0</v>
      </c>
      <c r="S11" s="80"/>
      <c r="T11" s="78">
        <v>0</v>
      </c>
      <c r="U11" s="80"/>
      <c r="V11" s="78">
        <v>0</v>
      </c>
      <c r="W11" s="80"/>
      <c r="X11" s="78">
        <v>0</v>
      </c>
    </row>
    <row r="12" spans="1:25" ht="4.95" customHeight="1" x14ac:dyDescent="0.3">
      <c r="B12" s="456"/>
      <c r="C12" s="16"/>
      <c r="D12" s="16"/>
      <c r="F12" s="79"/>
      <c r="G12" s="79"/>
      <c r="H12" s="79"/>
      <c r="I12" s="79"/>
      <c r="J12" s="79"/>
      <c r="K12" s="79"/>
      <c r="L12" s="79"/>
      <c r="M12" s="79"/>
      <c r="N12" s="79"/>
      <c r="O12" s="80"/>
      <c r="P12" s="79"/>
      <c r="Q12" s="80"/>
      <c r="R12" s="79"/>
      <c r="S12" s="80"/>
      <c r="T12" s="79"/>
      <c r="U12" s="80"/>
      <c r="V12" s="79"/>
      <c r="W12" s="80"/>
      <c r="X12" s="79"/>
    </row>
    <row r="13" spans="1:25" ht="15" customHeight="1" x14ac:dyDescent="0.3">
      <c r="B13" s="456"/>
      <c r="C13" s="16"/>
      <c r="D13" s="77" t="s">
        <v>85</v>
      </c>
      <c r="F13" s="78">
        <f>(F9+F11)*$B15</f>
        <v>2.0421629382406579</v>
      </c>
      <c r="G13" s="79"/>
      <c r="H13" s="78">
        <f>(H9+H11)*$B15</f>
        <v>0.75233925898345888</v>
      </c>
      <c r="I13" s="79"/>
      <c r="J13" s="78">
        <f>(J9+J11)*$B15</f>
        <v>0.27716415277588308</v>
      </c>
      <c r="K13" s="79"/>
      <c r="L13" s="78">
        <f>(L9+L11)*$B15</f>
        <v>0.10210814691203302</v>
      </c>
      <c r="M13" s="79"/>
      <c r="N13" s="78">
        <f>(N9+N11)*$B15</f>
        <v>3.7616962949172987E-2</v>
      </c>
      <c r="O13" s="80"/>
      <c r="P13" s="78">
        <f>(P9+P11)*$B15</f>
        <v>1.3858207638794169E-2</v>
      </c>
      <c r="Q13" s="80"/>
      <c r="R13" s="78">
        <f>(R9+R11)*$B15</f>
        <v>5.105407345601656E-3</v>
      </c>
      <c r="S13" s="80"/>
      <c r="T13" s="78">
        <f>(T9+T11)*$B15</f>
        <v>1.880848147458651E-3</v>
      </c>
      <c r="U13" s="80"/>
      <c r="V13" s="78">
        <f>(V9+V11)*$B15</f>
        <v>6.9291038193970917E-4</v>
      </c>
      <c r="W13" s="80"/>
      <c r="X13" s="78">
        <f>(X9+X11)*$B15</f>
        <v>2.5527036728008302E-4</v>
      </c>
    </row>
    <row r="14" spans="1:25" ht="4.95" customHeight="1" x14ac:dyDescent="0.3">
      <c r="B14" s="34"/>
      <c r="C14" s="16"/>
      <c r="D14" s="16"/>
      <c r="F14" s="79"/>
      <c r="G14" s="79"/>
      <c r="H14" s="79"/>
      <c r="I14" s="79"/>
      <c r="J14" s="79"/>
      <c r="K14" s="79"/>
      <c r="L14" s="79"/>
      <c r="M14" s="79"/>
      <c r="N14" s="79"/>
      <c r="O14" s="80"/>
      <c r="P14" s="79"/>
      <c r="Q14" s="80"/>
      <c r="R14" s="79"/>
      <c r="S14" s="80"/>
      <c r="T14" s="79"/>
      <c r="U14" s="80"/>
      <c r="V14" s="79"/>
      <c r="W14" s="80"/>
      <c r="X14" s="79"/>
    </row>
    <row r="15" spans="1:25" x14ac:dyDescent="0.3">
      <c r="B15" s="81">
        <v>0.63159685013596123</v>
      </c>
      <c r="C15" s="16"/>
      <c r="D15" s="77" t="s">
        <v>86</v>
      </c>
      <c r="F15" s="78">
        <f>F9+F11-F13</f>
        <v>1.1911700617593421</v>
      </c>
      <c r="G15" s="79"/>
      <c r="H15" s="78">
        <f>H9+H11-H13</f>
        <v>0.43883080277588327</v>
      </c>
      <c r="I15" s="79"/>
      <c r="J15" s="78">
        <f>J9+J11-J13</f>
        <v>0.16166665000000019</v>
      </c>
      <c r="K15" s="79"/>
      <c r="L15" s="78">
        <f>L9+L11-L13</f>
        <v>5.9558503087967174E-2</v>
      </c>
      <c r="M15" s="79"/>
      <c r="N15" s="78">
        <f>N9+N11-N13</f>
        <v>2.1941540138794187E-2</v>
      </c>
      <c r="O15" s="80"/>
      <c r="P15" s="78">
        <f>P9+P11-P13</f>
        <v>8.0833325000000174E-3</v>
      </c>
      <c r="Q15" s="80"/>
      <c r="R15" s="78">
        <f>R9+R11-R13</f>
        <v>2.9779251543983615E-3</v>
      </c>
      <c r="S15" s="80"/>
      <c r="T15" s="78">
        <f>T9+T11-T13</f>
        <v>1.0970770069397104E-3</v>
      </c>
      <c r="U15" s="80"/>
      <c r="V15" s="78">
        <f>V9+V11-V13</f>
        <v>4.0416662500000126E-4</v>
      </c>
      <c r="W15" s="80"/>
      <c r="X15" s="78">
        <f>X9+X11-X13</f>
        <v>1.4889625771991825E-4</v>
      </c>
    </row>
    <row r="16" spans="1:25" x14ac:dyDescent="0.3">
      <c r="B16" s="16"/>
      <c r="C16" s="16"/>
      <c r="D16" s="16"/>
      <c r="E16" s="16"/>
      <c r="F16" s="16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2:24" ht="13.5" customHeight="1" x14ac:dyDescent="0.3">
      <c r="B17" s="456" t="s">
        <v>87</v>
      </c>
      <c r="C17" s="16"/>
      <c r="D17" s="77" t="s">
        <v>82</v>
      </c>
      <c r="F17" s="78">
        <f>8998880.77/100000</f>
        <v>89.988807699999995</v>
      </c>
      <c r="G17" s="82"/>
      <c r="H17" s="78">
        <f>F23</f>
        <v>108.91300966683569</v>
      </c>
      <c r="I17" s="79"/>
      <c r="J17" s="78">
        <f>H23</f>
        <v>141.60948292617658</v>
      </c>
      <c r="K17" s="79"/>
      <c r="L17" s="78">
        <f>J23</f>
        <v>177.39530954428545</v>
      </c>
      <c r="M17" s="79"/>
      <c r="N17" s="78">
        <f>L23</f>
        <v>224.71980550684441</v>
      </c>
      <c r="O17" s="80"/>
      <c r="P17" s="78">
        <f>N23</f>
        <v>268.39063348622273</v>
      </c>
      <c r="Q17" s="80"/>
      <c r="R17" s="78">
        <f>P23</f>
        <v>304.15545755026125</v>
      </c>
      <c r="S17" s="80"/>
      <c r="T17" s="78">
        <f>R23</f>
        <v>363.74720909502093</v>
      </c>
      <c r="U17" s="80"/>
      <c r="V17" s="78">
        <f>T23</f>
        <v>412.55069206705514</v>
      </c>
      <c r="W17" s="80"/>
      <c r="X17" s="78">
        <f>V23</f>
        <v>472.99306758268517</v>
      </c>
    </row>
    <row r="18" spans="2:24" ht="4.95" customHeight="1" x14ac:dyDescent="0.3">
      <c r="B18" s="456"/>
      <c r="C18" s="16"/>
      <c r="D18" s="16"/>
      <c r="F18" s="79"/>
      <c r="G18" s="82"/>
      <c r="H18" s="79"/>
      <c r="I18" s="79"/>
      <c r="J18" s="79"/>
      <c r="K18" s="79"/>
      <c r="L18" s="79"/>
      <c r="M18" s="79"/>
      <c r="N18" s="79"/>
      <c r="O18" s="80"/>
      <c r="P18" s="79"/>
      <c r="Q18" s="80"/>
      <c r="R18" s="79"/>
      <c r="S18" s="80"/>
      <c r="T18" s="79"/>
      <c r="U18" s="80"/>
      <c r="V18" s="79"/>
      <c r="W18" s="80"/>
      <c r="X18" s="79"/>
    </row>
    <row r="19" spans="2:24" ht="13.5" customHeight="1" x14ac:dyDescent="0.3">
      <c r="B19" s="456"/>
      <c r="C19" s="16"/>
      <c r="D19" s="77" t="s">
        <v>84</v>
      </c>
      <c r="F19" s="78">
        <f>43/Ro*Ro</f>
        <v>43</v>
      </c>
      <c r="G19" s="79"/>
      <c r="H19" s="78">
        <f>64/Ro*Ro</f>
        <v>64</v>
      </c>
      <c r="I19" s="79"/>
      <c r="J19" s="78">
        <f>75/Ro*Ro</f>
        <v>75</v>
      </c>
      <c r="K19" s="79"/>
      <c r="L19" s="78">
        <f>97/Ro*Ro</f>
        <v>97</v>
      </c>
      <c r="M19" s="79"/>
      <c r="N19" s="78">
        <f>103/Ro*Ro</f>
        <v>103.00000000000001</v>
      </c>
      <c r="O19" s="80"/>
      <c r="P19" s="78">
        <f>103/Ro*Ro</f>
        <v>103.00000000000001</v>
      </c>
      <c r="Q19" s="80"/>
      <c r="R19" s="78">
        <f>140/Ro*Ro</f>
        <v>140</v>
      </c>
      <c r="S19" s="80"/>
      <c r="T19" s="78">
        <f>140/Ro*Ro</f>
        <v>140</v>
      </c>
      <c r="U19" s="80"/>
      <c r="V19" s="78">
        <f>165/Ro*Ro</f>
        <v>165</v>
      </c>
      <c r="W19" s="80"/>
      <c r="X19" s="78">
        <f>220/Ro*Ro</f>
        <v>220</v>
      </c>
    </row>
    <row r="20" spans="2:24" ht="4.95" customHeight="1" x14ac:dyDescent="0.3">
      <c r="B20" s="456"/>
      <c r="C20" s="16"/>
      <c r="D20" s="16"/>
      <c r="F20" s="79"/>
      <c r="G20" s="82"/>
      <c r="H20" s="79"/>
      <c r="I20" s="79"/>
      <c r="J20" s="79"/>
      <c r="K20" s="79"/>
      <c r="L20" s="79"/>
      <c r="M20" s="79"/>
      <c r="N20" s="79"/>
      <c r="O20" s="80"/>
      <c r="P20" s="79"/>
      <c r="Q20" s="80"/>
      <c r="R20" s="79"/>
      <c r="S20" s="80"/>
      <c r="T20" s="79"/>
      <c r="U20" s="80"/>
      <c r="V20" s="79"/>
      <c r="W20" s="80"/>
      <c r="X20" s="79"/>
    </row>
    <row r="21" spans="2:24" x14ac:dyDescent="0.3">
      <c r="B21" s="456"/>
      <c r="C21" s="16"/>
      <c r="D21" s="77" t="s">
        <v>85</v>
      </c>
      <c r="F21" s="78">
        <f>(F17+F19)*$B23</f>
        <v>24.075798033164308</v>
      </c>
      <c r="G21" s="82"/>
      <c r="H21" s="78">
        <f>(H17+H19)*$B23</f>
        <v>31.303526740659127</v>
      </c>
      <c r="I21" s="79"/>
      <c r="J21" s="78">
        <f>(J17+J19)*$B23</f>
        <v>39.214173381891143</v>
      </c>
      <c r="K21" s="79"/>
      <c r="L21" s="78">
        <f>(L17+L19)*$B23</f>
        <v>49.675504037441037</v>
      </c>
      <c r="M21" s="79"/>
      <c r="N21" s="78">
        <f>(N17+N19)*$B23</f>
        <v>59.329172020621662</v>
      </c>
      <c r="O21" s="80"/>
      <c r="P21" s="78">
        <f>(P17+P19)*$B23</f>
        <v>67.235175935961479</v>
      </c>
      <c r="Q21" s="80"/>
      <c r="R21" s="78">
        <f>(R17+R19)*$B23</f>
        <v>80.408248455240297</v>
      </c>
      <c r="S21" s="80"/>
      <c r="T21" s="78">
        <f>(T17+T19)*$B23</f>
        <v>91.196517027965768</v>
      </c>
      <c r="U21" s="80"/>
      <c r="V21" s="78">
        <f>(V17+V19)*$B23</f>
        <v>104.55762448436998</v>
      </c>
      <c r="W21" s="80"/>
      <c r="X21" s="78">
        <f>(X17+X19)*$B23</f>
        <v>125.45688183881443</v>
      </c>
    </row>
    <row r="22" spans="2:24" ht="4.95" customHeight="1" x14ac:dyDescent="0.3">
      <c r="B22" s="456"/>
      <c r="C22" s="16"/>
      <c r="D22" s="16"/>
      <c r="F22" s="79"/>
      <c r="G22" s="82"/>
      <c r="H22" s="79"/>
      <c r="I22" s="79"/>
      <c r="J22" s="79"/>
      <c r="K22" s="79"/>
      <c r="L22" s="79"/>
      <c r="M22" s="79"/>
      <c r="N22" s="79"/>
      <c r="O22" s="80"/>
      <c r="P22" s="79"/>
      <c r="Q22" s="80"/>
      <c r="R22" s="79"/>
      <c r="S22" s="80"/>
      <c r="T22" s="79"/>
      <c r="U22" s="80"/>
      <c r="V22" s="79"/>
      <c r="W22" s="80"/>
      <c r="X22" s="79"/>
    </row>
    <row r="23" spans="2:24" x14ac:dyDescent="0.3">
      <c r="B23" s="81">
        <v>0.18103627252208465</v>
      </c>
      <c r="C23" s="16"/>
      <c r="D23" s="77" t="s">
        <v>86</v>
      </c>
      <c r="F23" s="78">
        <f>F17+F19-F21</f>
        <v>108.91300966683569</v>
      </c>
      <c r="G23" s="82"/>
      <c r="H23" s="78">
        <f>H17+H19-H21</f>
        <v>141.60948292617658</v>
      </c>
      <c r="I23" s="79"/>
      <c r="J23" s="78">
        <f>J17+J19-J21</f>
        <v>177.39530954428545</v>
      </c>
      <c r="K23" s="79"/>
      <c r="L23" s="78">
        <f>L17+L19-L21</f>
        <v>224.71980550684441</v>
      </c>
      <c r="M23" s="79"/>
      <c r="N23" s="78">
        <f>N17+N19-N21</f>
        <v>268.39063348622273</v>
      </c>
      <c r="O23" s="80"/>
      <c r="P23" s="78">
        <f>P17+P19-P21</f>
        <v>304.15545755026125</v>
      </c>
      <c r="Q23" s="80"/>
      <c r="R23" s="78">
        <f>R17+R19-R21</f>
        <v>363.74720909502093</v>
      </c>
      <c r="S23" s="80"/>
      <c r="T23" s="78">
        <f>T17+T19-T21</f>
        <v>412.55069206705514</v>
      </c>
      <c r="U23" s="80"/>
      <c r="V23" s="78">
        <f>V17+V19-V21</f>
        <v>472.99306758268517</v>
      </c>
      <c r="W23" s="80"/>
      <c r="X23" s="78">
        <f>X17+X19-X21</f>
        <v>567.53618574387076</v>
      </c>
    </row>
    <row r="24" spans="2:24" x14ac:dyDescent="0.3">
      <c r="B24" s="16"/>
      <c r="C24" s="16"/>
      <c r="D24" s="16"/>
      <c r="E24" s="16"/>
      <c r="F24" s="16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2:24" ht="13.5" customHeight="1" x14ac:dyDescent="0.3">
      <c r="B25" s="456" t="s">
        <v>88</v>
      </c>
      <c r="C25" s="16"/>
      <c r="D25" s="77" t="s">
        <v>82</v>
      </c>
      <c r="F25" s="78">
        <f>564686.5/100000</f>
        <v>5.646865</v>
      </c>
      <c r="G25" s="82"/>
      <c r="H25" s="78">
        <f>F31</f>
        <v>4.1850850276604934</v>
      </c>
      <c r="I25" s="79"/>
      <c r="J25" s="78">
        <f>H31</f>
        <v>3.1017098316938747</v>
      </c>
      <c r="K25" s="79"/>
      <c r="L25" s="78">
        <f>J31</f>
        <v>2.2987833739197563</v>
      </c>
      <c r="M25" s="79"/>
      <c r="N25" s="78">
        <f>L31</f>
        <v>1.7037070799508127</v>
      </c>
      <c r="O25" s="80"/>
      <c r="P25" s="78">
        <f>N31</f>
        <v>1.262675660179821</v>
      </c>
      <c r="Q25" s="80"/>
      <c r="R25" s="78">
        <f>P31</f>
        <v>0.93581217192369537</v>
      </c>
      <c r="S25" s="80"/>
      <c r="T25" s="78">
        <f>R31</f>
        <v>0.69356244737926354</v>
      </c>
      <c r="U25" s="80"/>
      <c r="V25" s="78">
        <f>T31</f>
        <v>0.51402288070894642</v>
      </c>
      <c r="W25" s="80"/>
      <c r="X25" s="78">
        <f>V31</f>
        <v>0.38095995954036932</v>
      </c>
    </row>
    <row r="26" spans="2:24" ht="4.95" customHeight="1" x14ac:dyDescent="0.3">
      <c r="B26" s="456"/>
      <c r="C26" s="16"/>
      <c r="D26" s="16"/>
      <c r="F26" s="79"/>
      <c r="G26" s="82"/>
      <c r="H26" s="79"/>
      <c r="I26" s="79"/>
      <c r="J26" s="79"/>
      <c r="K26" s="79"/>
      <c r="L26" s="79"/>
      <c r="M26" s="79"/>
      <c r="N26" s="79"/>
      <c r="O26" s="80"/>
      <c r="P26" s="79"/>
      <c r="Q26" s="80"/>
      <c r="R26" s="79"/>
      <c r="S26" s="80"/>
      <c r="T26" s="79"/>
      <c r="U26" s="80"/>
      <c r="V26" s="79"/>
      <c r="W26" s="80"/>
      <c r="X26" s="79"/>
    </row>
    <row r="27" spans="2:24" x14ac:dyDescent="0.3">
      <c r="B27" s="456"/>
      <c r="C27" s="16"/>
      <c r="D27" s="77" t="s">
        <v>84</v>
      </c>
      <c r="F27" s="78">
        <v>0</v>
      </c>
      <c r="G27" s="79"/>
      <c r="H27" s="78">
        <v>0</v>
      </c>
      <c r="I27" s="79"/>
      <c r="J27" s="78">
        <v>0</v>
      </c>
      <c r="K27" s="79"/>
      <c r="L27" s="78">
        <v>0</v>
      </c>
      <c r="M27" s="79"/>
      <c r="N27" s="78">
        <v>0</v>
      </c>
      <c r="O27" s="80"/>
      <c r="P27" s="78">
        <v>0</v>
      </c>
      <c r="Q27" s="80"/>
      <c r="R27" s="78">
        <v>0</v>
      </c>
      <c r="S27" s="80"/>
      <c r="T27" s="78">
        <v>0</v>
      </c>
      <c r="U27" s="80"/>
      <c r="V27" s="78">
        <v>0</v>
      </c>
      <c r="W27" s="80"/>
      <c r="X27" s="78">
        <v>0</v>
      </c>
    </row>
    <row r="28" spans="2:24" ht="4.95" customHeight="1" x14ac:dyDescent="0.3">
      <c r="B28" s="456"/>
      <c r="C28" s="16"/>
      <c r="D28" s="16"/>
      <c r="F28" s="79"/>
      <c r="G28" s="82"/>
      <c r="H28" s="79"/>
      <c r="I28" s="79"/>
      <c r="J28" s="79"/>
      <c r="K28" s="79"/>
      <c r="L28" s="79"/>
      <c r="M28" s="79"/>
      <c r="N28" s="79"/>
      <c r="O28" s="80"/>
      <c r="P28" s="79"/>
      <c r="Q28" s="80"/>
      <c r="R28" s="79"/>
      <c r="S28" s="80"/>
      <c r="T28" s="79"/>
      <c r="U28" s="80"/>
      <c r="V28" s="79"/>
      <c r="W28" s="80"/>
      <c r="X28" s="79"/>
    </row>
    <row r="29" spans="2:24" x14ac:dyDescent="0.3">
      <c r="B29" s="456"/>
      <c r="C29" s="16"/>
      <c r="D29" s="77" t="s">
        <v>85</v>
      </c>
      <c r="F29" s="78">
        <f>(F25+F27)*$B31</f>
        <v>1.4617799723395066</v>
      </c>
      <c r="G29" s="82"/>
      <c r="H29" s="78">
        <f>(H25+H27)*$B31</f>
        <v>1.0833751959666187</v>
      </c>
      <c r="I29" s="79"/>
      <c r="J29" s="78">
        <f>(J25+J27)*$B31</f>
        <v>0.80292645777411853</v>
      </c>
      <c r="K29" s="79"/>
      <c r="L29" s="78">
        <f>(L25+L27)*$B31</f>
        <v>0.59507629396894368</v>
      </c>
      <c r="M29" s="79"/>
      <c r="N29" s="78">
        <f>(N25+N27)*$B31</f>
        <v>0.44103141977099164</v>
      </c>
      <c r="O29" s="80"/>
      <c r="P29" s="78">
        <f>(P25+P27)*$B31</f>
        <v>0.32686348825612566</v>
      </c>
      <c r="Q29" s="80"/>
      <c r="R29" s="78">
        <f>(R25+R27)*$B31</f>
        <v>0.24224972454443183</v>
      </c>
      <c r="S29" s="80"/>
      <c r="T29" s="78">
        <f>(T25+T27)*$B31</f>
        <v>0.17953956667031715</v>
      </c>
      <c r="U29" s="80"/>
      <c r="V29" s="78">
        <f>(V25+V27)*$B31</f>
        <v>0.13306292116857713</v>
      </c>
      <c r="W29" s="80"/>
      <c r="X29" s="78">
        <f>(X25+X27)*$B31</f>
        <v>9.8617487600532447E-2</v>
      </c>
    </row>
    <row r="30" spans="2:24" ht="4.95" customHeight="1" x14ac:dyDescent="0.3">
      <c r="B30" s="456"/>
      <c r="C30" s="16"/>
      <c r="D30" s="16"/>
      <c r="F30" s="79"/>
      <c r="G30" s="82"/>
      <c r="H30" s="79"/>
      <c r="I30" s="79"/>
      <c r="J30" s="79"/>
      <c r="K30" s="79"/>
      <c r="L30" s="79"/>
      <c r="M30" s="79"/>
      <c r="N30" s="79"/>
      <c r="O30" s="80"/>
      <c r="P30" s="79"/>
      <c r="Q30" s="80"/>
      <c r="R30" s="79"/>
      <c r="S30" s="80"/>
      <c r="T30" s="79"/>
      <c r="U30" s="80"/>
      <c r="V30" s="79"/>
      <c r="W30" s="80"/>
      <c r="X30" s="79"/>
    </row>
    <row r="31" spans="2:24" x14ac:dyDescent="0.3">
      <c r="B31" s="81">
        <v>0.25886575512952881</v>
      </c>
      <c r="C31" s="16"/>
      <c r="D31" s="77" t="s">
        <v>86</v>
      </c>
      <c r="F31" s="78">
        <f>F25+F27-F29</f>
        <v>4.1850850276604934</v>
      </c>
      <c r="G31" s="82"/>
      <c r="H31" s="78">
        <f>H25+H27-H29</f>
        <v>3.1017098316938747</v>
      </c>
      <c r="I31" s="79"/>
      <c r="J31" s="78">
        <f>J25+J27-J29</f>
        <v>2.2987833739197563</v>
      </c>
      <c r="K31" s="79"/>
      <c r="L31" s="78">
        <f>L25+L27-L29</f>
        <v>1.7037070799508127</v>
      </c>
      <c r="M31" s="79"/>
      <c r="N31" s="78">
        <f>N25+N27-N29</f>
        <v>1.262675660179821</v>
      </c>
      <c r="O31" s="80"/>
      <c r="P31" s="78">
        <f>P25+P27-P29</f>
        <v>0.93581217192369537</v>
      </c>
      <c r="Q31" s="80"/>
      <c r="R31" s="78">
        <f>R25+R27-R29</f>
        <v>0.69356244737926354</v>
      </c>
      <c r="S31" s="80"/>
      <c r="T31" s="78">
        <f>T25+T27-T29</f>
        <v>0.51402288070894642</v>
      </c>
      <c r="U31" s="80"/>
      <c r="V31" s="78">
        <f>V25+V27-V29</f>
        <v>0.38095995954036932</v>
      </c>
      <c r="W31" s="80"/>
      <c r="X31" s="78">
        <f>X25+X27-X29</f>
        <v>0.28234247193983686</v>
      </c>
    </row>
    <row r="32" spans="2:24" x14ac:dyDescent="0.3">
      <c r="B32" s="16"/>
      <c r="C32" s="16"/>
      <c r="D32" s="16"/>
      <c r="E32" s="16"/>
      <c r="F32" s="16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</row>
    <row r="33" spans="2:24" ht="13.5" customHeight="1" x14ac:dyDescent="0.3">
      <c r="B33" s="456" t="s">
        <v>89</v>
      </c>
      <c r="C33" s="16"/>
      <c r="D33" s="77" t="s">
        <v>82</v>
      </c>
      <c r="F33" s="78">
        <f>447968.16/100000</f>
        <v>4.4796816000000002</v>
      </c>
      <c r="G33" s="82"/>
      <c r="H33" s="78">
        <f>F39</f>
        <v>3.0804791350538228</v>
      </c>
      <c r="I33" s="79"/>
      <c r="J33" s="78">
        <f>H39</f>
        <v>2.1183094132185527</v>
      </c>
      <c r="K33" s="79"/>
      <c r="L33" s="78">
        <f>J39</f>
        <v>1.4566678017937384</v>
      </c>
      <c r="M33" s="79"/>
      <c r="N33" s="78">
        <f>L39</f>
        <v>1.0016860953087221</v>
      </c>
      <c r="O33" s="80"/>
      <c r="P33" s="78">
        <f>N39</f>
        <v>0.68881527572675094</v>
      </c>
      <c r="Q33" s="80"/>
      <c r="R33" s="78">
        <f>P39</f>
        <v>0.47366783496010118</v>
      </c>
      <c r="S33" s="80"/>
      <c r="T33" s="78">
        <f>R39</f>
        <v>0.32572044462729433</v>
      </c>
      <c r="U33" s="80"/>
      <c r="V33" s="78">
        <f>T39</f>
        <v>0.22398356024562865</v>
      </c>
      <c r="W33" s="80"/>
      <c r="X33" s="78">
        <f>V39</f>
        <v>0.15402359934057142</v>
      </c>
    </row>
    <row r="34" spans="2:24" ht="4.95" customHeight="1" x14ac:dyDescent="0.3">
      <c r="B34" s="456"/>
      <c r="C34" s="16"/>
      <c r="D34" s="16"/>
      <c r="F34" s="79"/>
      <c r="G34" s="82"/>
      <c r="H34" s="79"/>
      <c r="I34" s="79"/>
      <c r="J34" s="79"/>
      <c r="K34" s="79"/>
      <c r="L34" s="79"/>
      <c r="M34" s="79"/>
      <c r="N34" s="79"/>
      <c r="O34" s="80"/>
      <c r="P34" s="79"/>
      <c r="Q34" s="80"/>
      <c r="R34" s="79"/>
      <c r="S34" s="80"/>
      <c r="T34" s="79"/>
      <c r="U34" s="80"/>
      <c r="V34" s="79"/>
      <c r="W34" s="80"/>
      <c r="X34" s="79"/>
    </row>
    <row r="35" spans="2:24" x14ac:dyDescent="0.3">
      <c r="B35" s="456"/>
      <c r="C35" s="16"/>
      <c r="D35" s="77" t="s">
        <v>84</v>
      </c>
      <c r="F35" s="78">
        <v>0</v>
      </c>
      <c r="G35" s="79"/>
      <c r="H35" s="78">
        <v>0</v>
      </c>
      <c r="I35" s="79"/>
      <c r="J35" s="78">
        <v>0</v>
      </c>
      <c r="K35" s="79"/>
      <c r="L35" s="78">
        <v>0</v>
      </c>
      <c r="M35" s="79"/>
      <c r="N35" s="78">
        <v>0</v>
      </c>
      <c r="O35" s="80"/>
      <c r="P35" s="78">
        <v>0</v>
      </c>
      <c r="Q35" s="80"/>
      <c r="R35" s="78">
        <v>0</v>
      </c>
      <c r="S35" s="80"/>
      <c r="T35" s="78">
        <v>0</v>
      </c>
      <c r="U35" s="80"/>
      <c r="V35" s="78">
        <v>0</v>
      </c>
      <c r="W35" s="80"/>
      <c r="X35" s="78">
        <v>0</v>
      </c>
    </row>
    <row r="36" spans="2:24" ht="4.95" customHeight="1" x14ac:dyDescent="0.3">
      <c r="B36" s="456"/>
      <c r="C36" s="16"/>
      <c r="D36" s="16"/>
      <c r="F36" s="79"/>
      <c r="G36" s="82"/>
      <c r="H36" s="79"/>
      <c r="I36" s="79"/>
      <c r="J36" s="79"/>
      <c r="K36" s="79"/>
      <c r="L36" s="79"/>
      <c r="M36" s="79"/>
      <c r="N36" s="79"/>
      <c r="O36" s="80"/>
      <c r="P36" s="79"/>
      <c r="Q36" s="80"/>
      <c r="R36" s="79"/>
      <c r="S36" s="80"/>
      <c r="T36" s="79"/>
      <c r="U36" s="80"/>
      <c r="V36" s="79"/>
      <c r="W36" s="80"/>
      <c r="X36" s="79"/>
    </row>
    <row r="37" spans="2:24" x14ac:dyDescent="0.3">
      <c r="B37" s="456"/>
      <c r="C37" s="16"/>
      <c r="D37" s="77" t="s">
        <v>85</v>
      </c>
      <c r="F37" s="78">
        <f>(F33+F35)*$B39</f>
        <v>1.3992024649461776</v>
      </c>
      <c r="G37" s="82"/>
      <c r="H37" s="78">
        <f>(H33+H35)*$B39</f>
        <v>0.96216972183527016</v>
      </c>
      <c r="I37" s="79"/>
      <c r="J37" s="78">
        <f>(J33+J35)*$B39</f>
        <v>0.66164161142481426</v>
      </c>
      <c r="K37" s="79"/>
      <c r="L37" s="78">
        <f>(L33+L35)*$B39</f>
        <v>0.45498170648501646</v>
      </c>
      <c r="M37" s="79"/>
      <c r="N37" s="78">
        <f>(N33+N35)*$B39</f>
        <v>0.3128708195819711</v>
      </c>
      <c r="O37" s="80"/>
      <c r="P37" s="78">
        <f>(P33+P35)*$B39</f>
        <v>0.21514744076664977</v>
      </c>
      <c r="Q37" s="80"/>
      <c r="R37" s="78">
        <f>(R33+R35)*$B39</f>
        <v>0.14794739033280688</v>
      </c>
      <c r="S37" s="80"/>
      <c r="T37" s="78">
        <f>(T33+T35)*$B39</f>
        <v>0.10173688438166568</v>
      </c>
      <c r="U37" s="80"/>
      <c r="V37" s="78">
        <f>(V33+V35)*$B39</f>
        <v>6.9959960905057239E-2</v>
      </c>
      <c r="W37" s="80"/>
      <c r="X37" s="78">
        <f>(X33+X35)*$B39</f>
        <v>4.8108374456168931E-2</v>
      </c>
    </row>
    <row r="38" spans="2:24" ht="4.95" customHeight="1" x14ac:dyDescent="0.3">
      <c r="B38" s="456"/>
      <c r="C38" s="16"/>
      <c r="D38" s="16"/>
      <c r="F38" s="79"/>
      <c r="G38" s="82"/>
      <c r="H38" s="79"/>
      <c r="I38" s="79"/>
      <c r="J38" s="79"/>
      <c r="K38" s="79"/>
      <c r="L38" s="79"/>
      <c r="M38" s="79"/>
      <c r="N38" s="79"/>
      <c r="O38" s="80"/>
      <c r="P38" s="79"/>
      <c r="Q38" s="80"/>
      <c r="R38" s="79"/>
      <c r="S38" s="80"/>
      <c r="T38" s="79"/>
      <c r="U38" s="80"/>
      <c r="V38" s="79"/>
      <c r="W38" s="80"/>
      <c r="X38" s="79"/>
    </row>
    <row r="39" spans="2:24" x14ac:dyDescent="0.3">
      <c r="B39" s="81">
        <v>0.31234417752953192</v>
      </c>
      <c r="C39" s="16"/>
      <c r="D39" s="77" t="s">
        <v>86</v>
      </c>
      <c r="F39" s="78">
        <f>F33+F35-F37</f>
        <v>3.0804791350538228</v>
      </c>
      <c r="G39" s="82"/>
      <c r="H39" s="78">
        <f>H33+H35-H37</f>
        <v>2.1183094132185527</v>
      </c>
      <c r="I39" s="79"/>
      <c r="J39" s="78">
        <f>J33+J35-J37</f>
        <v>1.4566678017937384</v>
      </c>
      <c r="K39" s="79"/>
      <c r="L39" s="78">
        <f>L33+L35-L37</f>
        <v>1.0016860953087221</v>
      </c>
      <c r="M39" s="79"/>
      <c r="N39" s="78">
        <f>N33+N35-N37</f>
        <v>0.68881527572675094</v>
      </c>
      <c r="O39" s="80"/>
      <c r="P39" s="78">
        <f>P33+P35-P37</f>
        <v>0.47366783496010118</v>
      </c>
      <c r="Q39" s="80"/>
      <c r="R39" s="78">
        <f>R33+R35-R37</f>
        <v>0.32572044462729433</v>
      </c>
      <c r="S39" s="80"/>
      <c r="T39" s="78">
        <f>T33+T35-T37</f>
        <v>0.22398356024562865</v>
      </c>
      <c r="U39" s="80"/>
      <c r="V39" s="78">
        <f>V33+V35-V37</f>
        <v>0.15402359934057142</v>
      </c>
      <c r="W39" s="80"/>
      <c r="X39" s="78">
        <f>X33+X35-X37</f>
        <v>0.10591522488440248</v>
      </c>
    </row>
    <row r="40" spans="2:24" x14ac:dyDescent="0.3">
      <c r="B40" s="16"/>
      <c r="C40" s="16"/>
      <c r="D40" s="16"/>
      <c r="E40" s="16"/>
      <c r="F40" s="84"/>
      <c r="G40" s="82"/>
      <c r="H40" s="59"/>
      <c r="I40" s="59"/>
      <c r="J40" s="59"/>
      <c r="K40" s="59"/>
      <c r="L40" s="59"/>
      <c r="M40" s="59"/>
      <c r="N40" s="59"/>
      <c r="O40" s="85"/>
      <c r="P40" s="59"/>
      <c r="Q40" s="85"/>
      <c r="R40" s="59"/>
      <c r="S40" s="85"/>
      <c r="T40" s="59"/>
      <c r="U40" s="85"/>
      <c r="V40" s="59"/>
      <c r="W40" s="85"/>
      <c r="X40" s="59"/>
    </row>
    <row r="41" spans="2:24" ht="13.5" customHeight="1" x14ac:dyDescent="0.3">
      <c r="B41" s="456" t="s">
        <v>90</v>
      </c>
      <c r="C41" s="16"/>
      <c r="D41" s="77" t="s">
        <v>82</v>
      </c>
      <c r="F41" s="78">
        <f>548174.61/100000</f>
        <v>5.4817460999999996</v>
      </c>
      <c r="G41" s="82"/>
      <c r="H41" s="78">
        <f>F47</f>
        <v>4.0627108759676585</v>
      </c>
      <c r="I41" s="79"/>
      <c r="J41" s="78">
        <f>H47</f>
        <v>3.0110149869410954</v>
      </c>
      <c r="K41" s="79"/>
      <c r="L41" s="78">
        <f>J47</f>
        <v>2.231566933599352</v>
      </c>
      <c r="M41" s="79"/>
      <c r="N41" s="78">
        <f>L47</f>
        <v>1.6538911299784362</v>
      </c>
      <c r="O41" s="80"/>
      <c r="P41" s="78">
        <f>N47</f>
        <v>1.2257556914994356</v>
      </c>
      <c r="Q41" s="80"/>
      <c r="R41" s="78">
        <f>P47</f>
        <v>0.90844976915914</v>
      </c>
      <c r="S41" s="80"/>
      <c r="T41" s="78">
        <f>R47</f>
        <v>0.673283419207093</v>
      </c>
      <c r="U41" s="80"/>
      <c r="V41" s="78">
        <f>T47</f>
        <v>0.498993535986891</v>
      </c>
      <c r="W41" s="80"/>
      <c r="X41" s="78">
        <f>V47</f>
        <v>0.36982129940157238</v>
      </c>
    </row>
    <row r="42" spans="2:24" ht="4.95" customHeight="1" x14ac:dyDescent="0.3">
      <c r="B42" s="456"/>
      <c r="C42" s="16"/>
      <c r="D42" s="16"/>
      <c r="F42" s="79"/>
      <c r="G42" s="82"/>
      <c r="H42" s="79"/>
      <c r="I42" s="79"/>
      <c r="J42" s="79"/>
      <c r="K42" s="79"/>
      <c r="L42" s="79"/>
      <c r="M42" s="79"/>
      <c r="N42" s="79"/>
      <c r="O42" s="80"/>
      <c r="P42" s="79"/>
      <c r="Q42" s="80"/>
      <c r="R42" s="79"/>
      <c r="S42" s="80"/>
      <c r="T42" s="79"/>
      <c r="U42" s="80"/>
      <c r="V42" s="79"/>
      <c r="W42" s="80"/>
      <c r="X42" s="79"/>
    </row>
    <row r="43" spans="2:24" x14ac:dyDescent="0.3">
      <c r="B43" s="456"/>
      <c r="C43" s="16"/>
      <c r="D43" s="77" t="s">
        <v>84</v>
      </c>
      <c r="F43" s="78">
        <v>0</v>
      </c>
      <c r="G43" s="79"/>
      <c r="H43" s="78">
        <v>0</v>
      </c>
      <c r="I43" s="79"/>
      <c r="J43" s="78">
        <v>0</v>
      </c>
      <c r="K43" s="79"/>
      <c r="L43" s="78">
        <v>0</v>
      </c>
      <c r="M43" s="79"/>
      <c r="N43" s="78">
        <v>0</v>
      </c>
      <c r="O43" s="80"/>
      <c r="P43" s="78">
        <v>0</v>
      </c>
      <c r="Q43" s="80"/>
      <c r="R43" s="78">
        <v>0</v>
      </c>
      <c r="S43" s="80"/>
      <c r="T43" s="78">
        <v>0</v>
      </c>
      <c r="U43" s="80"/>
      <c r="V43" s="78">
        <v>0</v>
      </c>
      <c r="W43" s="80"/>
      <c r="X43" s="78">
        <v>0</v>
      </c>
    </row>
    <row r="44" spans="2:24" ht="4.95" customHeight="1" x14ac:dyDescent="0.3">
      <c r="B44" s="456"/>
      <c r="C44" s="16"/>
      <c r="D44" s="16"/>
      <c r="F44" s="79"/>
      <c r="G44" s="82"/>
      <c r="H44" s="79"/>
      <c r="I44" s="79"/>
      <c r="J44" s="79"/>
      <c r="K44" s="79"/>
      <c r="L44" s="79"/>
      <c r="M44" s="79"/>
      <c r="N44" s="79"/>
      <c r="O44" s="80"/>
      <c r="P44" s="79"/>
      <c r="Q44" s="80"/>
      <c r="R44" s="79"/>
      <c r="S44" s="80"/>
      <c r="T44" s="79"/>
      <c r="U44" s="80"/>
      <c r="V44" s="79"/>
      <c r="W44" s="80"/>
      <c r="X44" s="79"/>
    </row>
    <row r="45" spans="2:24" x14ac:dyDescent="0.3">
      <c r="B45" s="456"/>
      <c r="C45" s="16"/>
      <c r="D45" s="77" t="s">
        <v>85</v>
      </c>
      <c r="F45" s="78">
        <f>(F41+F43)*$B47</f>
        <v>1.4190352240323409</v>
      </c>
      <c r="G45" s="82"/>
      <c r="H45" s="78">
        <f>(H41+H43)*$B47</f>
        <v>1.0516958890265631</v>
      </c>
      <c r="I45" s="79"/>
      <c r="J45" s="78">
        <f>(J41+J43)*$B47</f>
        <v>0.77944805334174327</v>
      </c>
      <c r="K45" s="79"/>
      <c r="L45" s="78">
        <f>(L41+L43)*$B47</f>
        <v>0.57767580362091575</v>
      </c>
      <c r="M45" s="79"/>
      <c r="N45" s="78">
        <f>(N41+N43)*$B47</f>
        <v>0.42813543847900065</v>
      </c>
      <c r="O45" s="80"/>
      <c r="P45" s="78">
        <f>(P41+P43)*$B47</f>
        <v>0.31730592234029564</v>
      </c>
      <c r="Q45" s="80"/>
      <c r="R45" s="78">
        <f>(R41+R43)*$B47</f>
        <v>0.23516634995204697</v>
      </c>
      <c r="S45" s="80"/>
      <c r="T45" s="78">
        <f>(T41+T43)*$B47</f>
        <v>0.174289883220202</v>
      </c>
      <c r="U45" s="80"/>
      <c r="V45" s="78">
        <f>(V41+V43)*$B47</f>
        <v>0.12917223658531865</v>
      </c>
      <c r="W45" s="80"/>
      <c r="X45" s="78">
        <f>(X41+X43)*$B47</f>
        <v>9.5733994401572473E-2</v>
      </c>
    </row>
    <row r="46" spans="2:24" ht="4.95" customHeight="1" x14ac:dyDescent="0.3">
      <c r="B46" s="456"/>
      <c r="C46" s="16"/>
      <c r="D46" s="16"/>
      <c r="F46" s="79"/>
      <c r="G46" s="82"/>
      <c r="H46" s="79"/>
      <c r="I46" s="79"/>
      <c r="J46" s="79"/>
      <c r="K46" s="79"/>
      <c r="L46" s="79"/>
      <c r="M46" s="79"/>
      <c r="N46" s="79"/>
      <c r="O46" s="80"/>
      <c r="P46" s="79"/>
      <c r="Q46" s="80"/>
      <c r="R46" s="79"/>
      <c r="S46" s="80"/>
      <c r="T46" s="79"/>
      <c r="U46" s="80"/>
      <c r="V46" s="79"/>
      <c r="W46" s="80"/>
      <c r="X46" s="79"/>
    </row>
    <row r="47" spans="2:24" x14ac:dyDescent="0.3">
      <c r="B47" s="81">
        <v>0.2588655508930523</v>
      </c>
      <c r="C47" s="16"/>
      <c r="D47" s="77" t="s">
        <v>86</v>
      </c>
      <c r="F47" s="78">
        <f>F41+F43-F45</f>
        <v>4.0627108759676585</v>
      </c>
      <c r="G47" s="82"/>
      <c r="H47" s="78">
        <f>H41+H43-H45</f>
        <v>3.0110149869410954</v>
      </c>
      <c r="I47" s="79"/>
      <c r="J47" s="78">
        <f>J41+J43-J45</f>
        <v>2.231566933599352</v>
      </c>
      <c r="K47" s="79"/>
      <c r="L47" s="78">
        <f>L41+L43-L45</f>
        <v>1.6538911299784362</v>
      </c>
      <c r="M47" s="79"/>
      <c r="N47" s="78">
        <f>N41+N43-N45</f>
        <v>1.2257556914994356</v>
      </c>
      <c r="O47" s="80"/>
      <c r="P47" s="78">
        <f>P41+P43-P45</f>
        <v>0.90844976915914</v>
      </c>
      <c r="Q47" s="80"/>
      <c r="R47" s="78">
        <f>R41+R43-R45</f>
        <v>0.673283419207093</v>
      </c>
      <c r="S47" s="80"/>
      <c r="T47" s="78">
        <f>T41+T43-T45</f>
        <v>0.498993535986891</v>
      </c>
      <c r="U47" s="80"/>
      <c r="V47" s="78">
        <f>V41+V43-V45</f>
        <v>0.36982129940157238</v>
      </c>
      <c r="W47" s="80"/>
      <c r="X47" s="78">
        <f>X41+X43-X45</f>
        <v>0.27408730499999989</v>
      </c>
    </row>
    <row r="48" spans="2:24" x14ac:dyDescent="0.3">
      <c r="B48" s="86"/>
      <c r="C48" s="16"/>
      <c r="D48" s="16"/>
      <c r="F48" s="80"/>
      <c r="G48" s="87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</row>
    <row r="49" spans="2:24" x14ac:dyDescent="0.3">
      <c r="B49" s="456" t="s">
        <v>91</v>
      </c>
      <c r="C49" s="16"/>
      <c r="D49" s="77" t="s">
        <v>82</v>
      </c>
      <c r="F49" s="78">
        <f>541693.96/100000</f>
        <v>5.4169395999999992</v>
      </c>
      <c r="G49" s="82"/>
      <c r="H49" s="78">
        <f>F55</f>
        <v>4.0146805462916095</v>
      </c>
      <c r="I49" s="79"/>
      <c r="J49" s="78">
        <f>H55</f>
        <v>2.9754180550162119</v>
      </c>
      <c r="K49" s="79"/>
      <c r="L49" s="78">
        <f>J55</f>
        <v>2.2051848210673062</v>
      </c>
      <c r="M49" s="79"/>
      <c r="N49" s="78">
        <f>L55</f>
        <v>1.6343384375407211</v>
      </c>
      <c r="O49" s="80"/>
      <c r="P49" s="78">
        <f>N55</f>
        <v>1.2112645175610519</v>
      </c>
      <c r="Q49" s="80"/>
      <c r="R49" s="78">
        <f>P55</f>
        <v>0.89770986094540306</v>
      </c>
      <c r="S49" s="80"/>
      <c r="T49" s="78">
        <f>R55</f>
        <v>0.66532370324964596</v>
      </c>
      <c r="U49" s="80"/>
      <c r="V49" s="78">
        <f>T55</f>
        <v>0.4930943162857207</v>
      </c>
      <c r="W49" s="80"/>
      <c r="X49" s="78">
        <f>V55</f>
        <v>0.36544918445818464</v>
      </c>
    </row>
    <row r="50" spans="2:24" ht="5.25" customHeight="1" x14ac:dyDescent="0.3">
      <c r="B50" s="456"/>
      <c r="C50" s="16"/>
      <c r="D50" s="16"/>
      <c r="F50" s="79"/>
      <c r="G50" s="82"/>
      <c r="H50" s="79"/>
      <c r="I50" s="79"/>
      <c r="J50" s="79"/>
      <c r="K50" s="79"/>
      <c r="L50" s="79"/>
      <c r="M50" s="79"/>
      <c r="N50" s="79"/>
      <c r="O50" s="80"/>
      <c r="P50" s="79"/>
      <c r="Q50" s="80"/>
      <c r="R50" s="79"/>
      <c r="S50" s="80"/>
      <c r="T50" s="79"/>
      <c r="U50" s="80"/>
      <c r="V50" s="79"/>
      <c r="W50" s="80"/>
      <c r="X50" s="79"/>
    </row>
    <row r="51" spans="2:24" x14ac:dyDescent="0.3">
      <c r="B51" s="456"/>
      <c r="C51" s="16"/>
      <c r="D51" s="77" t="s">
        <v>84</v>
      </c>
      <c r="F51" s="78">
        <v>0</v>
      </c>
      <c r="G51" s="79"/>
      <c r="H51" s="78">
        <v>0</v>
      </c>
      <c r="I51" s="79"/>
      <c r="J51" s="78">
        <v>0</v>
      </c>
      <c r="K51" s="79"/>
      <c r="L51" s="78">
        <v>0</v>
      </c>
      <c r="M51" s="79"/>
      <c r="N51" s="78">
        <v>0</v>
      </c>
      <c r="O51" s="80"/>
      <c r="P51" s="78">
        <v>0</v>
      </c>
      <c r="Q51" s="80"/>
      <c r="R51" s="78">
        <v>0</v>
      </c>
      <c r="S51" s="80"/>
      <c r="T51" s="78">
        <v>0</v>
      </c>
      <c r="U51" s="80"/>
      <c r="V51" s="78">
        <v>0</v>
      </c>
      <c r="W51" s="80"/>
      <c r="X51" s="78">
        <v>0</v>
      </c>
    </row>
    <row r="52" spans="2:24" ht="5.25" customHeight="1" x14ac:dyDescent="0.3">
      <c r="B52" s="456"/>
      <c r="C52" s="16"/>
      <c r="D52" s="16"/>
      <c r="F52" s="79"/>
      <c r="G52" s="82"/>
      <c r="H52" s="79"/>
      <c r="I52" s="79"/>
      <c r="J52" s="79"/>
      <c r="K52" s="79"/>
      <c r="L52" s="79"/>
      <c r="M52" s="79"/>
      <c r="N52" s="79"/>
      <c r="O52" s="80"/>
      <c r="P52" s="79"/>
      <c r="Q52" s="80"/>
      <c r="R52" s="79"/>
      <c r="S52" s="80"/>
      <c r="T52" s="79"/>
      <c r="U52" s="80"/>
      <c r="V52" s="79"/>
      <c r="W52" s="80"/>
      <c r="X52" s="79"/>
    </row>
    <row r="53" spans="2:24" x14ac:dyDescent="0.3">
      <c r="B53" s="456"/>
      <c r="C53" s="16"/>
      <c r="D53" s="77" t="s">
        <v>85</v>
      </c>
      <c r="F53" s="78">
        <f>(F49+F51)*$B55</f>
        <v>1.4022590537083901</v>
      </c>
      <c r="G53" s="82"/>
      <c r="H53" s="78">
        <f>(H49+H51)*$B55</f>
        <v>1.0392624912753976</v>
      </c>
      <c r="I53" s="79"/>
      <c r="J53" s="78">
        <f>(J49+J51)*$B55</f>
        <v>0.77023323394890586</v>
      </c>
      <c r="K53" s="79"/>
      <c r="L53" s="78">
        <f>(L49+L51)*$B55</f>
        <v>0.57084638352658512</v>
      </c>
      <c r="M53" s="79"/>
      <c r="N53" s="78">
        <f>(N49+N51)*$B55</f>
        <v>0.42307391997966909</v>
      </c>
      <c r="O53" s="80"/>
      <c r="P53" s="78">
        <f>(P49+P51)*$B55</f>
        <v>0.31355465661564891</v>
      </c>
      <c r="Q53" s="80"/>
      <c r="R53" s="78">
        <f>(R49+R51)*$B55</f>
        <v>0.23238615769575713</v>
      </c>
      <c r="S53" s="80"/>
      <c r="T53" s="78">
        <f>(T49+T51)*$B55</f>
        <v>0.17222938696392526</v>
      </c>
      <c r="U53" s="80"/>
      <c r="V53" s="78">
        <f>(V49+V51)*$B55</f>
        <v>0.12764513182753606</v>
      </c>
      <c r="W53" s="80"/>
      <c r="X53" s="78">
        <f>(X49+X51)*$B55</f>
        <v>9.4602204458184652E-2</v>
      </c>
    </row>
    <row r="54" spans="2:24" ht="5.25" customHeight="1" x14ac:dyDescent="0.3">
      <c r="B54" s="456"/>
      <c r="C54" s="16"/>
      <c r="D54" s="16"/>
      <c r="F54" s="79"/>
      <c r="G54" s="82"/>
      <c r="H54" s="79"/>
      <c r="I54" s="79"/>
      <c r="J54" s="79"/>
      <c r="K54" s="79"/>
      <c r="L54" s="79"/>
      <c r="M54" s="79"/>
      <c r="N54" s="79"/>
      <c r="O54" s="80"/>
      <c r="P54" s="79"/>
      <c r="Q54" s="80"/>
      <c r="R54" s="79"/>
      <c r="S54" s="80"/>
      <c r="T54" s="79"/>
      <c r="U54" s="80"/>
      <c r="V54" s="79"/>
      <c r="W54" s="80"/>
      <c r="X54" s="79"/>
    </row>
    <row r="55" spans="2:24" x14ac:dyDescent="0.3">
      <c r="B55" s="81">
        <v>0.2588655508930523</v>
      </c>
      <c r="C55" s="16"/>
      <c r="D55" s="77" t="s">
        <v>86</v>
      </c>
      <c r="F55" s="78">
        <f>F49+F51-F53</f>
        <v>4.0146805462916095</v>
      </c>
      <c r="G55" s="82"/>
      <c r="H55" s="78">
        <f>H49+H51-H53</f>
        <v>2.9754180550162119</v>
      </c>
      <c r="I55" s="79"/>
      <c r="J55" s="78">
        <f>J49+J51-J53</f>
        <v>2.2051848210673062</v>
      </c>
      <c r="K55" s="79"/>
      <c r="L55" s="78">
        <f>L49+L51-L53</f>
        <v>1.6343384375407211</v>
      </c>
      <c r="M55" s="79"/>
      <c r="N55" s="78">
        <f>N49+N51-N53</f>
        <v>1.2112645175610519</v>
      </c>
      <c r="O55" s="80"/>
      <c r="P55" s="78">
        <f>P49+P51-P53</f>
        <v>0.89770986094540306</v>
      </c>
      <c r="Q55" s="80"/>
      <c r="R55" s="78">
        <f>R49+R51-R53</f>
        <v>0.66532370324964596</v>
      </c>
      <c r="S55" s="80"/>
      <c r="T55" s="78">
        <f>T49+T51-T53</f>
        <v>0.4930943162857207</v>
      </c>
      <c r="U55" s="80"/>
      <c r="V55" s="78">
        <f>V49+V51-V53</f>
        <v>0.36544918445818464</v>
      </c>
      <c r="W55" s="80"/>
      <c r="X55" s="78">
        <f>X49+X51-X53</f>
        <v>0.27084697999999996</v>
      </c>
    </row>
    <row r="56" spans="2:24" x14ac:dyDescent="0.3">
      <c r="B56" s="16"/>
      <c r="C56" s="16"/>
      <c r="D56" s="16"/>
      <c r="E56" s="16"/>
      <c r="F56" s="84"/>
      <c r="G56" s="82"/>
      <c r="H56" s="59"/>
      <c r="I56" s="59"/>
      <c r="J56" s="59"/>
      <c r="K56" s="59"/>
      <c r="L56" s="59"/>
      <c r="M56" s="59"/>
      <c r="N56" s="59"/>
      <c r="O56" s="85"/>
      <c r="P56" s="59"/>
      <c r="Q56" s="85"/>
      <c r="R56" s="59"/>
      <c r="S56" s="85"/>
      <c r="T56" s="59"/>
      <c r="U56" s="85"/>
      <c r="V56" s="59"/>
      <c r="W56" s="85"/>
      <c r="X56" s="59"/>
    </row>
    <row r="57" spans="2:24" ht="13.5" customHeight="1" x14ac:dyDescent="0.3">
      <c r="B57" s="456" t="s">
        <v>92</v>
      </c>
      <c r="C57" s="16"/>
      <c r="D57" s="77" t="s">
        <v>82</v>
      </c>
      <c r="F57" s="78">
        <f>486356.03/100000</f>
        <v>4.8635603000000005</v>
      </c>
      <c r="G57" s="82"/>
      <c r="H57" s="78">
        <f>F63</f>
        <v>2.6714577227850329</v>
      </c>
      <c r="I57" s="79"/>
      <c r="J57" s="78">
        <f>H63</f>
        <v>1.4673790236810251</v>
      </c>
      <c r="K57" s="79"/>
      <c r="L57" s="78">
        <f>J63</f>
        <v>0.80600234874551391</v>
      </c>
      <c r="M57" s="79"/>
      <c r="N57" s="78">
        <f>L63</f>
        <v>0.44272118907193941</v>
      </c>
      <c r="O57" s="80"/>
      <c r="P57" s="78">
        <f>N63</f>
        <v>0.24317801500000014</v>
      </c>
      <c r="Q57" s="80"/>
      <c r="R57" s="78">
        <f>P63</f>
        <v>0.13357288613925172</v>
      </c>
      <c r="S57" s="80"/>
      <c r="T57" s="78">
        <f>R63</f>
        <v>7.336895118405129E-2</v>
      </c>
      <c r="U57" s="80"/>
      <c r="V57" s="78">
        <f>T63</f>
        <v>4.0300117437275712E-2</v>
      </c>
      <c r="W57" s="80"/>
      <c r="X57" s="78">
        <f>V63</f>
        <v>2.2136059453596979E-2</v>
      </c>
    </row>
    <row r="58" spans="2:24" ht="4.95" customHeight="1" x14ac:dyDescent="0.3">
      <c r="B58" s="456"/>
      <c r="C58" s="16"/>
      <c r="D58" s="16"/>
      <c r="F58" s="79"/>
      <c r="G58" s="82"/>
      <c r="H58" s="79"/>
      <c r="I58" s="79"/>
      <c r="J58" s="79"/>
      <c r="K58" s="79"/>
      <c r="L58" s="79"/>
      <c r="M58" s="79"/>
      <c r="N58" s="79"/>
      <c r="O58" s="80"/>
      <c r="P58" s="79"/>
      <c r="Q58" s="80"/>
      <c r="R58" s="79"/>
      <c r="S58" s="80"/>
      <c r="T58" s="79"/>
      <c r="U58" s="80"/>
      <c r="V58" s="79"/>
      <c r="W58" s="80"/>
      <c r="X58" s="79"/>
    </row>
    <row r="59" spans="2:24" x14ac:dyDescent="0.3">
      <c r="B59" s="456"/>
      <c r="C59" s="16"/>
      <c r="D59" s="77" t="s">
        <v>84</v>
      </c>
      <c r="F59" s="78">
        <v>0</v>
      </c>
      <c r="G59" s="79"/>
      <c r="H59" s="78">
        <v>0</v>
      </c>
      <c r="I59" s="79"/>
      <c r="J59" s="78">
        <v>0</v>
      </c>
      <c r="K59" s="79"/>
      <c r="L59" s="78">
        <v>0</v>
      </c>
      <c r="M59" s="79"/>
      <c r="N59" s="78">
        <v>0</v>
      </c>
      <c r="O59" s="80"/>
      <c r="P59" s="78">
        <v>0</v>
      </c>
      <c r="Q59" s="80"/>
      <c r="R59" s="78">
        <v>0</v>
      </c>
      <c r="S59" s="80"/>
      <c r="T59" s="78">
        <v>0</v>
      </c>
      <c r="U59" s="80"/>
      <c r="V59" s="78">
        <v>0</v>
      </c>
      <c r="W59" s="80"/>
      <c r="X59" s="78">
        <v>0</v>
      </c>
    </row>
    <row r="60" spans="2:24" ht="4.95" customHeight="1" x14ac:dyDescent="0.3">
      <c r="B60" s="456"/>
      <c r="C60" s="16"/>
      <c r="D60" s="16"/>
      <c r="F60" s="79"/>
      <c r="G60" s="82"/>
      <c r="H60" s="79"/>
      <c r="I60" s="79"/>
      <c r="J60" s="79"/>
      <c r="K60" s="79"/>
      <c r="L60" s="79"/>
      <c r="M60" s="79"/>
      <c r="N60" s="79"/>
      <c r="O60" s="80"/>
      <c r="P60" s="79"/>
      <c r="Q60" s="80"/>
      <c r="R60" s="79"/>
      <c r="S60" s="80"/>
      <c r="T60" s="79"/>
      <c r="U60" s="80"/>
      <c r="V60" s="79"/>
      <c r="W60" s="80"/>
      <c r="X60" s="79"/>
    </row>
    <row r="61" spans="2:24" x14ac:dyDescent="0.3">
      <c r="B61" s="456"/>
      <c r="C61" s="16"/>
      <c r="D61" s="77" t="s">
        <v>85</v>
      </c>
      <c r="F61" s="78">
        <f>(F57+F59)*$B63</f>
        <v>2.1921025772149676</v>
      </c>
      <c r="G61" s="82"/>
      <c r="H61" s="78">
        <f>(H57+H59)*$B63</f>
        <v>1.2040786991040078</v>
      </c>
      <c r="I61" s="79"/>
      <c r="J61" s="78">
        <f>(J57+J59)*$B63</f>
        <v>0.66137667493551122</v>
      </c>
      <c r="K61" s="79"/>
      <c r="L61" s="78">
        <f>(L57+L59)*$B63</f>
        <v>0.36328115967357449</v>
      </c>
      <c r="M61" s="79"/>
      <c r="N61" s="78">
        <f>(N57+N59)*$B63</f>
        <v>0.19954317407193928</v>
      </c>
      <c r="O61" s="80"/>
      <c r="P61" s="78">
        <f>(P57+P59)*$B63</f>
        <v>0.10960512886074843</v>
      </c>
      <c r="Q61" s="80"/>
      <c r="R61" s="78">
        <f>(R57+R59)*$B63</f>
        <v>6.0203934955200426E-2</v>
      </c>
      <c r="S61" s="80"/>
      <c r="T61" s="78">
        <f>(T57+T59)*$B63</f>
        <v>3.3068833746775578E-2</v>
      </c>
      <c r="U61" s="80"/>
      <c r="V61" s="78">
        <f>(V57+V59)*$B63</f>
        <v>1.8164057983678733E-2</v>
      </c>
      <c r="W61" s="80"/>
      <c r="X61" s="78">
        <f>(X57+X59)*$B63</f>
        <v>9.977158703596967E-3</v>
      </c>
    </row>
    <row r="62" spans="2:24" ht="4.95" customHeight="1" x14ac:dyDescent="0.3">
      <c r="B62" s="456"/>
      <c r="C62" s="16"/>
      <c r="D62" s="16"/>
      <c r="F62" s="79"/>
      <c r="G62" s="82"/>
      <c r="H62" s="79"/>
      <c r="I62" s="79"/>
      <c r="J62" s="79"/>
      <c r="K62" s="79"/>
      <c r="L62" s="79"/>
      <c r="M62" s="79"/>
      <c r="N62" s="79"/>
      <c r="O62" s="80"/>
      <c r="P62" s="79"/>
      <c r="Q62" s="80"/>
      <c r="R62" s="79"/>
      <c r="S62" s="80"/>
      <c r="T62" s="79"/>
      <c r="U62" s="80"/>
      <c r="V62" s="79"/>
      <c r="W62" s="80"/>
      <c r="X62" s="79"/>
    </row>
    <row r="63" spans="2:24" x14ac:dyDescent="0.3">
      <c r="B63" s="81">
        <v>0.45071972834694107</v>
      </c>
      <c r="C63" s="16"/>
      <c r="D63" s="77" t="s">
        <v>86</v>
      </c>
      <c r="F63" s="78">
        <f>F57+F59-F61</f>
        <v>2.6714577227850329</v>
      </c>
      <c r="G63" s="82"/>
      <c r="H63" s="78">
        <f>H57+H59-H61</f>
        <v>1.4673790236810251</v>
      </c>
      <c r="I63" s="79"/>
      <c r="J63" s="78">
        <f>J57+J59-J61</f>
        <v>0.80600234874551391</v>
      </c>
      <c r="K63" s="79"/>
      <c r="L63" s="78">
        <f>L57+L59-L61</f>
        <v>0.44272118907193941</v>
      </c>
      <c r="M63" s="79"/>
      <c r="N63" s="78">
        <f>N57+N59-N61</f>
        <v>0.24317801500000014</v>
      </c>
      <c r="O63" s="80"/>
      <c r="P63" s="78">
        <f>P57+P59-P61</f>
        <v>0.13357288613925172</v>
      </c>
      <c r="Q63" s="80"/>
      <c r="R63" s="78">
        <f>R57+R59-R61</f>
        <v>7.336895118405129E-2</v>
      </c>
      <c r="S63" s="80"/>
      <c r="T63" s="78">
        <f>T57+T59-T61</f>
        <v>4.0300117437275712E-2</v>
      </c>
      <c r="U63" s="80"/>
      <c r="V63" s="78">
        <f>V57+V59-V61</f>
        <v>2.2136059453596979E-2</v>
      </c>
      <c r="W63" s="80"/>
      <c r="X63" s="78">
        <f>X57+X59-X61</f>
        <v>1.2158900750000012E-2</v>
      </c>
    </row>
    <row r="64" spans="2:24" x14ac:dyDescent="0.3">
      <c r="B64" s="16"/>
      <c r="C64" s="16"/>
      <c r="D64" s="16"/>
      <c r="E64" s="16"/>
      <c r="F64" s="84"/>
      <c r="G64" s="82"/>
      <c r="H64" s="59"/>
      <c r="I64" s="59"/>
      <c r="J64" s="59"/>
      <c r="K64" s="59"/>
      <c r="L64" s="59"/>
      <c r="M64" s="59"/>
      <c r="N64" s="59"/>
      <c r="O64" s="85"/>
      <c r="P64" s="59"/>
      <c r="Q64" s="85"/>
      <c r="R64" s="59"/>
      <c r="S64" s="85"/>
      <c r="T64" s="59"/>
      <c r="U64" s="85"/>
      <c r="V64" s="59"/>
      <c r="W64" s="85"/>
      <c r="X64" s="59"/>
    </row>
    <row r="65" spans="2:24" ht="13.5" customHeight="1" x14ac:dyDescent="0.3">
      <c r="B65" s="456" t="s">
        <v>93</v>
      </c>
      <c r="C65" s="16"/>
      <c r="D65" s="77" t="s">
        <v>82</v>
      </c>
      <c r="F65" s="78">
        <f>1772388.54/100000</f>
        <v>17.7238854</v>
      </c>
      <c r="G65" s="82"/>
      <c r="H65" s="78">
        <f>F71</f>
        <v>13.135970608746184</v>
      </c>
      <c r="I65" s="79"/>
      <c r="J65" s="78">
        <f>H71</f>
        <v>9.7356600959428228</v>
      </c>
      <c r="K65" s="79"/>
      <c r="L65" s="78">
        <f>J71</f>
        <v>7.2155366608863307</v>
      </c>
      <c r="M65" s="79"/>
      <c r="N65" s="78">
        <f>L71</f>
        <v>5.3477595552346227</v>
      </c>
      <c r="O65" s="80"/>
      <c r="P65" s="78">
        <f>N71</f>
        <v>3.9634657274529417</v>
      </c>
      <c r="Q65" s="80"/>
      <c r="R65" s="78">
        <f>P71</f>
        <v>2.9375031563110117</v>
      </c>
      <c r="S65" s="80"/>
      <c r="T65" s="78">
        <f>R71</f>
        <v>2.1771160359906525</v>
      </c>
      <c r="U65" s="80"/>
      <c r="V65" s="78">
        <f>T71</f>
        <v>1.6135588566039369</v>
      </c>
      <c r="W65" s="80"/>
      <c r="X65" s="78">
        <f>V71</f>
        <v>1.1958812211588445</v>
      </c>
    </row>
    <row r="66" spans="2:24" ht="4.95" customHeight="1" x14ac:dyDescent="0.3">
      <c r="B66" s="456"/>
      <c r="C66" s="16"/>
      <c r="D66" s="16"/>
      <c r="F66" s="79"/>
      <c r="G66" s="82"/>
      <c r="H66" s="79"/>
      <c r="I66" s="79"/>
      <c r="J66" s="79"/>
      <c r="K66" s="79"/>
      <c r="L66" s="79"/>
      <c r="M66" s="79"/>
      <c r="N66" s="79"/>
      <c r="O66" s="80"/>
      <c r="P66" s="79"/>
      <c r="Q66" s="80"/>
      <c r="R66" s="79"/>
      <c r="S66" s="80"/>
      <c r="T66" s="79"/>
      <c r="U66" s="80"/>
      <c r="V66" s="79"/>
      <c r="W66" s="80"/>
      <c r="X66" s="79"/>
    </row>
    <row r="67" spans="2:24" x14ac:dyDescent="0.3">
      <c r="B67" s="456"/>
      <c r="C67" s="16"/>
      <c r="D67" s="77" t="s">
        <v>84</v>
      </c>
      <c r="F67" s="78">
        <v>0</v>
      </c>
      <c r="G67" s="79"/>
      <c r="H67" s="78">
        <v>0</v>
      </c>
      <c r="I67" s="79"/>
      <c r="J67" s="78">
        <v>0</v>
      </c>
      <c r="K67" s="79"/>
      <c r="L67" s="78">
        <v>0</v>
      </c>
      <c r="M67" s="79"/>
      <c r="N67" s="78">
        <v>0</v>
      </c>
      <c r="O67" s="80"/>
      <c r="P67" s="78">
        <v>0</v>
      </c>
      <c r="Q67" s="80"/>
      <c r="R67" s="78">
        <v>0</v>
      </c>
      <c r="S67" s="80"/>
      <c r="T67" s="78">
        <v>0</v>
      </c>
      <c r="U67" s="80"/>
      <c r="V67" s="78">
        <v>0</v>
      </c>
      <c r="W67" s="80"/>
      <c r="X67" s="78">
        <v>0</v>
      </c>
    </row>
    <row r="68" spans="2:24" ht="4.95" customHeight="1" x14ac:dyDescent="0.3">
      <c r="B68" s="456"/>
      <c r="C68" s="16"/>
      <c r="D68" s="16"/>
      <c r="F68" s="79"/>
      <c r="G68" s="82"/>
      <c r="H68" s="79"/>
      <c r="I68" s="79"/>
      <c r="J68" s="79"/>
      <c r="K68" s="79"/>
      <c r="L68" s="79"/>
      <c r="M68" s="79"/>
      <c r="N68" s="79"/>
      <c r="O68" s="80"/>
      <c r="P68" s="79"/>
      <c r="Q68" s="80"/>
      <c r="R68" s="79"/>
      <c r="S68" s="80"/>
      <c r="T68" s="79"/>
      <c r="U68" s="80"/>
      <c r="V68" s="79"/>
      <c r="W68" s="80"/>
      <c r="X68" s="79"/>
    </row>
    <row r="69" spans="2:24" x14ac:dyDescent="0.3">
      <c r="B69" s="456"/>
      <c r="C69" s="16"/>
      <c r="D69" s="77" t="s">
        <v>85</v>
      </c>
      <c r="F69" s="78">
        <f>(F65+F67)*$B71</f>
        <v>4.5879147912538158</v>
      </c>
      <c r="G69" s="82"/>
      <c r="H69" s="78">
        <f>(H65+H67)*$B71</f>
        <v>3.4003105128033613</v>
      </c>
      <c r="I69" s="79"/>
      <c r="J69" s="78">
        <f>(J65+J67)*$B71</f>
        <v>2.5201234350564925</v>
      </c>
      <c r="K69" s="79"/>
      <c r="L69" s="78">
        <f>(L65+L67)*$B71</f>
        <v>1.8677771056517078</v>
      </c>
      <c r="M69" s="79"/>
      <c r="N69" s="78">
        <f>(N65+N67)*$B71</f>
        <v>1.384293827781681</v>
      </c>
      <c r="O69" s="80"/>
      <c r="P69" s="78">
        <f>(P65+P67)*$B71</f>
        <v>1.02596257114193</v>
      </c>
      <c r="Q69" s="80"/>
      <c r="R69" s="78">
        <f>(R65+R67)*$B71</f>
        <v>0.76038712032035927</v>
      </c>
      <c r="S69" s="80"/>
      <c r="T69" s="78">
        <f>(T65+T67)*$B71</f>
        <v>0.56355717938671557</v>
      </c>
      <c r="U69" s="80"/>
      <c r="V69" s="78">
        <f>(V65+V67)*$B71</f>
        <v>0.41767763544509245</v>
      </c>
      <c r="W69" s="80"/>
      <c r="X69" s="78">
        <f>(X65+X67)*$B71</f>
        <v>0.30955972797800518</v>
      </c>
    </row>
    <row r="70" spans="2:24" ht="4.95" customHeight="1" x14ac:dyDescent="0.3">
      <c r="B70" s="456"/>
      <c r="C70" s="16"/>
      <c r="D70" s="16"/>
      <c r="F70" s="79"/>
      <c r="G70" s="82"/>
      <c r="H70" s="79"/>
      <c r="I70" s="79"/>
      <c r="J70" s="79"/>
      <c r="K70" s="79"/>
      <c r="L70" s="79"/>
      <c r="M70" s="79"/>
      <c r="N70" s="79"/>
      <c r="O70" s="80"/>
      <c r="P70" s="79"/>
      <c r="Q70" s="80"/>
      <c r="R70" s="79"/>
      <c r="S70" s="80"/>
      <c r="T70" s="79"/>
      <c r="U70" s="80"/>
      <c r="V70" s="79"/>
      <c r="W70" s="80"/>
      <c r="X70" s="79"/>
    </row>
    <row r="71" spans="2:24" x14ac:dyDescent="0.3">
      <c r="B71" s="81">
        <v>0.25885491175957476</v>
      </c>
      <c r="C71" s="16"/>
      <c r="D71" s="77" t="s">
        <v>86</v>
      </c>
      <c r="F71" s="78">
        <f>F65+F67-F69</f>
        <v>13.135970608746184</v>
      </c>
      <c r="G71" s="82"/>
      <c r="H71" s="78">
        <f>H65+H67-H69</f>
        <v>9.7356600959428228</v>
      </c>
      <c r="I71" s="79"/>
      <c r="J71" s="78">
        <f>J65+J67-J69</f>
        <v>7.2155366608863307</v>
      </c>
      <c r="K71" s="79"/>
      <c r="L71" s="78">
        <f>L65+L67-L69</f>
        <v>5.3477595552346227</v>
      </c>
      <c r="M71" s="79"/>
      <c r="N71" s="78">
        <f>N65+N67-N69</f>
        <v>3.9634657274529417</v>
      </c>
      <c r="O71" s="80"/>
      <c r="P71" s="78">
        <f>P65+P67-P69</f>
        <v>2.9375031563110117</v>
      </c>
      <c r="Q71" s="80"/>
      <c r="R71" s="78">
        <f>R65+R67-R69</f>
        <v>2.1771160359906525</v>
      </c>
      <c r="S71" s="80"/>
      <c r="T71" s="78">
        <f>T65+T67-T69</f>
        <v>1.6135588566039369</v>
      </c>
      <c r="U71" s="80"/>
      <c r="V71" s="78">
        <f>V65+V67-V69</f>
        <v>1.1958812211588445</v>
      </c>
      <c r="W71" s="80"/>
      <c r="X71" s="78">
        <f>X65+X67-X69</f>
        <v>0.88632149318083941</v>
      </c>
    </row>
    <row r="72" spans="2:24" x14ac:dyDescent="0.3">
      <c r="B72" s="16"/>
      <c r="C72" s="16"/>
      <c r="D72" s="16"/>
      <c r="E72" s="16"/>
      <c r="F72" s="84"/>
      <c r="G72" s="82"/>
      <c r="H72" s="59"/>
      <c r="I72" s="59"/>
      <c r="J72" s="59"/>
      <c r="K72" s="59"/>
      <c r="L72" s="59"/>
      <c r="M72" s="59"/>
      <c r="N72" s="59"/>
      <c r="O72" s="85"/>
      <c r="P72" s="59"/>
      <c r="Q72" s="85"/>
      <c r="R72" s="59"/>
      <c r="S72" s="85"/>
      <c r="T72" s="59"/>
      <c r="U72" s="85"/>
      <c r="V72" s="59"/>
      <c r="W72" s="85"/>
      <c r="X72" s="59"/>
    </row>
    <row r="73" spans="2:24" ht="13.5" customHeight="1" x14ac:dyDescent="0.3">
      <c r="B73" s="456" t="s">
        <v>94</v>
      </c>
      <c r="C73" s="16"/>
      <c r="D73" s="77" t="s">
        <v>82</v>
      </c>
      <c r="F73" s="78">
        <f>38540.92/100000</f>
        <v>0.38540920000000001</v>
      </c>
      <c r="G73" s="82"/>
      <c r="H73" s="78">
        <f>F79</f>
        <v>0.21169767007358814</v>
      </c>
      <c r="I73" s="79"/>
      <c r="J73" s="78">
        <f>H79</f>
        <v>0.11628135372634014</v>
      </c>
      <c r="K73" s="79"/>
      <c r="L73" s="78">
        <f>J79</f>
        <v>6.3871053562989555E-2</v>
      </c>
      <c r="M73" s="79"/>
      <c r="N73" s="78">
        <f>L79</f>
        <v>3.5083109651845981E-2</v>
      </c>
      <c r="O73" s="80"/>
      <c r="P73" s="78">
        <f>N79</f>
        <v>1.9270460000000017E-2</v>
      </c>
      <c r="Q73" s="80"/>
      <c r="R73" s="78">
        <f>P79</f>
        <v>1.0584883503679416E-2</v>
      </c>
      <c r="S73" s="80"/>
      <c r="T73" s="78">
        <f>R79</f>
        <v>5.8140676863170119E-3</v>
      </c>
      <c r="U73" s="80"/>
      <c r="V73" s="78">
        <f>T79</f>
        <v>3.1935526781494803E-3</v>
      </c>
      <c r="W73" s="80"/>
      <c r="X73" s="78">
        <f>V79</f>
        <v>1.7541554825923006E-3</v>
      </c>
    </row>
    <row r="74" spans="2:24" ht="4.95" customHeight="1" x14ac:dyDescent="0.3">
      <c r="B74" s="456"/>
      <c r="C74" s="16"/>
      <c r="D74" s="16"/>
      <c r="F74" s="79"/>
      <c r="G74" s="82"/>
      <c r="H74" s="79"/>
      <c r="I74" s="79"/>
      <c r="J74" s="79"/>
      <c r="K74" s="79"/>
      <c r="L74" s="79"/>
      <c r="M74" s="79"/>
      <c r="N74" s="79"/>
      <c r="O74" s="80"/>
      <c r="P74" s="79"/>
      <c r="Q74" s="80"/>
      <c r="R74" s="79"/>
      <c r="S74" s="80"/>
      <c r="T74" s="79"/>
      <c r="U74" s="80"/>
      <c r="V74" s="79"/>
      <c r="W74" s="80"/>
      <c r="X74" s="79"/>
    </row>
    <row r="75" spans="2:24" x14ac:dyDescent="0.3">
      <c r="B75" s="456"/>
      <c r="C75" s="16"/>
      <c r="D75" s="77" t="s">
        <v>84</v>
      </c>
      <c r="F75" s="78">
        <v>0</v>
      </c>
      <c r="G75" s="79"/>
      <c r="H75" s="78">
        <v>0</v>
      </c>
      <c r="I75" s="79"/>
      <c r="J75" s="78">
        <v>0</v>
      </c>
      <c r="K75" s="79"/>
      <c r="L75" s="78">
        <v>0</v>
      </c>
      <c r="M75" s="79"/>
      <c r="N75" s="78">
        <v>0</v>
      </c>
      <c r="O75" s="80"/>
      <c r="P75" s="78">
        <v>0</v>
      </c>
      <c r="Q75" s="80"/>
      <c r="R75" s="78">
        <v>0</v>
      </c>
      <c r="S75" s="80"/>
      <c r="T75" s="78">
        <v>0</v>
      </c>
      <c r="U75" s="80"/>
      <c r="V75" s="78">
        <v>0</v>
      </c>
      <c r="W75" s="80"/>
      <c r="X75" s="78">
        <v>0</v>
      </c>
    </row>
    <row r="76" spans="2:24" ht="4.95" customHeight="1" x14ac:dyDescent="0.3">
      <c r="B76" s="456"/>
      <c r="C76" s="16"/>
      <c r="D76" s="16"/>
      <c r="F76" s="79"/>
      <c r="G76" s="82"/>
      <c r="H76" s="79"/>
      <c r="I76" s="79"/>
      <c r="J76" s="79"/>
      <c r="K76" s="79"/>
      <c r="L76" s="79"/>
      <c r="M76" s="79"/>
      <c r="N76" s="79"/>
      <c r="O76" s="80"/>
      <c r="P76" s="79"/>
      <c r="Q76" s="80"/>
      <c r="R76" s="79"/>
      <c r="S76" s="80"/>
      <c r="T76" s="79"/>
      <c r="U76" s="80"/>
      <c r="V76" s="79"/>
      <c r="W76" s="80"/>
      <c r="X76" s="79"/>
    </row>
    <row r="77" spans="2:24" x14ac:dyDescent="0.3">
      <c r="B77" s="456"/>
      <c r="C77" s="16"/>
      <c r="D77" s="77" t="s">
        <v>85</v>
      </c>
      <c r="F77" s="78">
        <f>(F73+F75)*$B79</f>
        <v>0.17371152992641187</v>
      </c>
      <c r="G77" s="82"/>
      <c r="H77" s="78">
        <f>(H73+H75)*$B79</f>
        <v>9.5416316347247995E-2</v>
      </c>
      <c r="I77" s="79"/>
      <c r="J77" s="78">
        <f>(J73+J75)*$B79</f>
        <v>5.241030016335059E-2</v>
      </c>
      <c r="K77" s="79"/>
      <c r="L77" s="78">
        <f>(L73+L75)*$B79</f>
        <v>2.878794391114357E-2</v>
      </c>
      <c r="M77" s="79"/>
      <c r="N77" s="78">
        <f>(N73+N75)*$B79</f>
        <v>1.5812649651845964E-2</v>
      </c>
      <c r="O77" s="80"/>
      <c r="P77" s="78">
        <f>(P73+P75)*$B79</f>
        <v>8.6855764963206013E-3</v>
      </c>
      <c r="Q77" s="80"/>
      <c r="R77" s="78">
        <f>(R73+R75)*$B79</f>
        <v>4.7708158173624038E-3</v>
      </c>
      <c r="S77" s="80"/>
      <c r="T77" s="78">
        <f>(T73+T75)*$B79</f>
        <v>2.6205150081675317E-3</v>
      </c>
      <c r="U77" s="80"/>
      <c r="V77" s="78">
        <f>(V73+V75)*$B79</f>
        <v>1.4393971955571796E-3</v>
      </c>
      <c r="W77" s="80"/>
      <c r="X77" s="78">
        <f>(X73+X75)*$B79</f>
        <v>7.9063248259229901E-4</v>
      </c>
    </row>
    <row r="78" spans="2:24" ht="4.95" customHeight="1" x14ac:dyDescent="0.3">
      <c r="B78" s="456"/>
      <c r="C78" s="16"/>
      <c r="D78" s="16"/>
      <c r="F78" s="79"/>
      <c r="G78" s="82"/>
      <c r="H78" s="79"/>
      <c r="I78" s="79"/>
      <c r="J78" s="79"/>
      <c r="K78" s="79"/>
      <c r="L78" s="79"/>
      <c r="M78" s="79"/>
      <c r="N78" s="79"/>
      <c r="O78" s="80"/>
      <c r="P78" s="79"/>
      <c r="Q78" s="80"/>
      <c r="R78" s="79"/>
      <c r="S78" s="80"/>
      <c r="T78" s="79"/>
      <c r="U78" s="80"/>
      <c r="V78" s="79"/>
      <c r="W78" s="80"/>
      <c r="X78" s="79"/>
    </row>
    <row r="79" spans="2:24" x14ac:dyDescent="0.3">
      <c r="B79" s="81">
        <v>0.45071972834694102</v>
      </c>
      <c r="C79" s="16"/>
      <c r="D79" s="77" t="s">
        <v>86</v>
      </c>
      <c r="F79" s="78">
        <f>F73+F75-F77</f>
        <v>0.21169767007358814</v>
      </c>
      <c r="G79" s="82"/>
      <c r="H79" s="78">
        <f>H73+H75-H77</f>
        <v>0.11628135372634014</v>
      </c>
      <c r="I79" s="79"/>
      <c r="J79" s="78">
        <f>J73+J75-J77</f>
        <v>6.3871053562989555E-2</v>
      </c>
      <c r="K79" s="79"/>
      <c r="L79" s="78">
        <f>L73+L75-L77</f>
        <v>3.5083109651845981E-2</v>
      </c>
      <c r="M79" s="79"/>
      <c r="N79" s="78">
        <f>N73+N75-N77</f>
        <v>1.9270460000000017E-2</v>
      </c>
      <c r="O79" s="80"/>
      <c r="P79" s="78">
        <f>P73+P75-P77</f>
        <v>1.0584883503679416E-2</v>
      </c>
      <c r="Q79" s="80"/>
      <c r="R79" s="78">
        <f>R73+R75-R77</f>
        <v>5.8140676863170119E-3</v>
      </c>
      <c r="S79" s="80"/>
      <c r="T79" s="78">
        <f>T73+T75-T77</f>
        <v>3.1935526781494803E-3</v>
      </c>
      <c r="U79" s="80"/>
      <c r="V79" s="78">
        <f>V73+V75-V77</f>
        <v>1.7541554825923006E-3</v>
      </c>
      <c r="W79" s="80"/>
      <c r="X79" s="78">
        <f>X73+X75-X77</f>
        <v>9.6352300000000161E-4</v>
      </c>
    </row>
    <row r="80" spans="2:24" x14ac:dyDescent="0.3">
      <c r="B80" s="2"/>
      <c r="F80" s="82"/>
      <c r="G80" s="82"/>
      <c r="H80" s="79"/>
      <c r="I80" s="79"/>
      <c r="J80" s="79"/>
      <c r="K80" s="79"/>
      <c r="L80" s="79"/>
      <c r="M80" s="79"/>
      <c r="N80" s="79"/>
      <c r="O80" s="80"/>
      <c r="P80" s="79"/>
      <c r="Q80" s="80"/>
      <c r="R80" s="79"/>
      <c r="S80" s="80"/>
      <c r="T80" s="79"/>
      <c r="U80" s="80"/>
      <c r="V80" s="79"/>
      <c r="W80" s="80"/>
      <c r="X80" s="79"/>
    </row>
    <row r="81" spans="2:25" ht="13.5" customHeight="1" x14ac:dyDescent="0.3">
      <c r="B81" s="456" t="s">
        <v>95</v>
      </c>
      <c r="D81" s="88" t="s">
        <v>82</v>
      </c>
      <c r="E81" s="22"/>
      <c r="F81" s="89">
        <f>F9+F17+F25+F33+F41+F49+F57+F65+F73</f>
        <v>137.22022790000003</v>
      </c>
      <c r="G81" s="91"/>
      <c r="H81" s="89">
        <f>F87</f>
        <v>142.86852036888183</v>
      </c>
      <c r="I81" s="90"/>
      <c r="J81" s="89">
        <f>H87</f>
        <v>167.01560803415617</v>
      </c>
      <c r="K81" s="90"/>
      <c r="L81" s="89">
        <f>J87</f>
        <v>197.04634396679313</v>
      </c>
      <c r="M81" s="90"/>
      <c r="N81" s="89">
        <f>L87</f>
        <v>240.38115176912876</v>
      </c>
      <c r="O81" s="92"/>
      <c r="P81" s="89">
        <f>N87</f>
        <v>281.23267545622053</v>
      </c>
      <c r="Q81" s="92"/>
      <c r="R81" s="89">
        <f>P87</f>
        <v>314.98007118475817</v>
      </c>
      <c r="S81" s="92"/>
      <c r="T81" s="89">
        <f>R87</f>
        <v>373.11599198625009</v>
      </c>
      <c r="U81" s="92"/>
      <c r="V81" s="89">
        <f>T87</f>
        <v>420.86278124772298</v>
      </c>
      <c r="W81" s="80"/>
      <c r="X81" s="89">
        <f>V87</f>
        <v>480.53498764368777</v>
      </c>
    </row>
    <row r="82" spans="2:25" ht="4.95" customHeight="1" x14ac:dyDescent="0.3">
      <c r="B82" s="456"/>
      <c r="D82" s="93"/>
      <c r="E82" s="22"/>
      <c r="F82" s="90"/>
      <c r="G82" s="91"/>
      <c r="H82" s="90"/>
      <c r="I82" s="90"/>
      <c r="J82" s="90"/>
      <c r="K82" s="90"/>
      <c r="L82" s="90"/>
      <c r="M82" s="90"/>
      <c r="N82" s="90"/>
      <c r="O82" s="92"/>
      <c r="P82" s="90"/>
      <c r="Q82" s="92"/>
      <c r="R82" s="90"/>
      <c r="S82" s="92"/>
      <c r="T82" s="90"/>
      <c r="U82" s="92"/>
      <c r="V82" s="90"/>
      <c r="W82" s="80"/>
      <c r="X82" s="90"/>
    </row>
    <row r="83" spans="2:25" x14ac:dyDescent="0.3">
      <c r="B83" s="456"/>
      <c r="D83" s="88" t="s">
        <v>84</v>
      </c>
      <c r="E83" s="22"/>
      <c r="F83" s="89">
        <f>F75+F67+F59+F43+F35+F27+F19+F11</f>
        <v>43</v>
      </c>
      <c r="G83" s="91"/>
      <c r="H83" s="89">
        <f>H75+H67+H59+H43+H35+H27+H19+H11</f>
        <v>64</v>
      </c>
      <c r="I83" s="90"/>
      <c r="J83" s="89">
        <f>J75+J67+J59+J43+J35+J27+J19+J11</f>
        <v>75</v>
      </c>
      <c r="K83" s="90"/>
      <c r="L83" s="89">
        <f>L75+L67+L59+L43+L35+L27+L19+L11</f>
        <v>97</v>
      </c>
      <c r="M83" s="90"/>
      <c r="N83" s="89">
        <f>N75+N67+N59+N43+N35+N27+N19+N11</f>
        <v>103.00000000000001</v>
      </c>
      <c r="O83" s="92"/>
      <c r="P83" s="89">
        <f>P75+P67+P59+P43+P35+P27+P19+P11</f>
        <v>103.00000000000001</v>
      </c>
      <c r="Q83" s="92"/>
      <c r="R83" s="89">
        <f>R75+R67+R59+R43+R35+R27+R19+R11</f>
        <v>140</v>
      </c>
      <c r="S83" s="92"/>
      <c r="T83" s="89">
        <f>T75+T67+T59+T43+T35+T27+T19+T11</f>
        <v>140</v>
      </c>
      <c r="U83" s="92"/>
      <c r="V83" s="89">
        <f>V75+V67+V59+V43+V35+V27+V19+V11</f>
        <v>165</v>
      </c>
      <c r="W83" s="80"/>
      <c r="X83" s="89">
        <f>X75+X67+X59+X43+X35+X27+X19+X11</f>
        <v>220</v>
      </c>
    </row>
    <row r="84" spans="2:25" ht="4.95" customHeight="1" x14ac:dyDescent="0.3">
      <c r="B84" s="456"/>
      <c r="D84" s="93"/>
      <c r="E84" s="22"/>
      <c r="F84" s="90"/>
      <c r="G84" s="91"/>
      <c r="H84" s="90"/>
      <c r="I84" s="90"/>
      <c r="J84" s="90"/>
      <c r="K84" s="90"/>
      <c r="L84" s="90"/>
      <c r="M84" s="90"/>
      <c r="N84" s="90"/>
      <c r="O84" s="92"/>
      <c r="P84" s="90"/>
      <c r="Q84" s="92"/>
      <c r="R84" s="90"/>
      <c r="S84" s="92"/>
      <c r="T84" s="90"/>
      <c r="U84" s="92"/>
      <c r="V84" s="90"/>
      <c r="W84" s="80"/>
      <c r="X84" s="90"/>
    </row>
    <row r="85" spans="2:25" x14ac:dyDescent="0.3">
      <c r="B85" s="456"/>
      <c r="D85" s="88" t="s">
        <v>85</v>
      </c>
      <c r="E85" s="22"/>
      <c r="F85" s="89">
        <f>F77+F69+F61+F45+F37+F29+F21+F13</f>
        <v>37.351707531118187</v>
      </c>
      <c r="G85" s="91"/>
      <c r="H85" s="89">
        <f>H77+H69+H61+H45+H37+H29+H21+H13</f>
        <v>39.852912334725659</v>
      </c>
      <c r="I85" s="90"/>
      <c r="J85" s="89">
        <f>J77+J69+J61+J45+J37+J29+J21+J13</f>
        <v>44.969264067363056</v>
      </c>
      <c r="K85" s="90"/>
      <c r="L85" s="89">
        <f>L77+L69+L61+L45+L37+L29+L21+L13</f>
        <v>53.665192197664368</v>
      </c>
      <c r="M85" s="90"/>
      <c r="N85" s="89">
        <f>N77+N69+N61+N45+N37+N29+N21+N13</f>
        <v>62.148476312908265</v>
      </c>
      <c r="O85" s="92"/>
      <c r="P85" s="89">
        <f>P77+P69+P61+P45+P37+P29+P21+P13</f>
        <v>69.252604271462346</v>
      </c>
      <c r="Q85" s="92"/>
      <c r="R85" s="89">
        <f>R77+R69+R61+R45+R37+R29+R21+R13</f>
        <v>81.864079198508094</v>
      </c>
      <c r="S85" s="92"/>
      <c r="T85" s="89">
        <f>T77+T69+T61+T45+T37+T29+T21+T13</f>
        <v>92.253210738527073</v>
      </c>
      <c r="U85" s="92"/>
      <c r="V85" s="89">
        <f>V77+V69+V61+V45+V37+V29+V21+V13</f>
        <v>105.32779360403521</v>
      </c>
      <c r="W85" s="80"/>
      <c r="X85" s="89">
        <f>X77+X69+X61+X45+X37+X29+X21+X13</f>
        <v>126.01992448480416</v>
      </c>
    </row>
    <row r="86" spans="2:25" ht="4.95" customHeight="1" x14ac:dyDescent="0.3">
      <c r="B86" s="456"/>
      <c r="D86" s="93"/>
      <c r="E86" s="22"/>
      <c r="F86" s="90"/>
      <c r="G86" s="91"/>
      <c r="H86" s="90"/>
      <c r="I86" s="90"/>
      <c r="J86" s="90"/>
      <c r="K86" s="90"/>
      <c r="L86" s="90"/>
      <c r="M86" s="90"/>
      <c r="N86" s="90"/>
      <c r="O86" s="92"/>
      <c r="P86" s="90"/>
      <c r="Q86" s="92"/>
      <c r="R86" s="90"/>
      <c r="S86" s="92"/>
      <c r="T86" s="90"/>
      <c r="U86" s="92"/>
      <c r="V86" s="90"/>
      <c r="W86" s="80"/>
      <c r="X86" s="90"/>
    </row>
    <row r="87" spans="2:25" x14ac:dyDescent="0.3">
      <c r="B87" s="456"/>
      <c r="D87" s="88" t="s">
        <v>86</v>
      </c>
      <c r="E87" s="22"/>
      <c r="F87" s="89">
        <f>F81+F83-F85</f>
        <v>142.86852036888183</v>
      </c>
      <c r="G87" s="91"/>
      <c r="H87" s="89">
        <f>H81+H83-H85</f>
        <v>167.01560803415617</v>
      </c>
      <c r="I87" s="90"/>
      <c r="J87" s="89">
        <f>J81+J83-J85</f>
        <v>197.04634396679313</v>
      </c>
      <c r="K87" s="90"/>
      <c r="L87" s="89">
        <f>L81+L83-L85</f>
        <v>240.38115176912876</v>
      </c>
      <c r="M87" s="90"/>
      <c r="N87" s="89">
        <f>N81+N83-N85</f>
        <v>281.23267545622053</v>
      </c>
      <c r="O87" s="92"/>
      <c r="P87" s="89">
        <f>P81+P83-P85</f>
        <v>314.98007118475817</v>
      </c>
      <c r="Q87" s="92"/>
      <c r="R87" s="89">
        <f>R81+R83-R85</f>
        <v>373.11599198625009</v>
      </c>
      <c r="S87" s="92"/>
      <c r="T87" s="89">
        <f>T81+T83-T85</f>
        <v>420.86278124772298</v>
      </c>
      <c r="U87" s="92"/>
      <c r="V87" s="89">
        <f>V81+V83-V85</f>
        <v>480.53498764368777</v>
      </c>
      <c r="W87" s="80"/>
      <c r="X87" s="89">
        <f>X81+X83-X85</f>
        <v>574.51506315888366</v>
      </c>
    </row>
    <row r="88" spans="2:25" ht="4.95" customHeight="1" x14ac:dyDescent="0.3">
      <c r="D88" s="22"/>
      <c r="E88" s="22"/>
      <c r="F88" s="91"/>
      <c r="G88" s="91"/>
      <c r="H88" s="90"/>
      <c r="I88" s="90"/>
      <c r="J88" s="90"/>
      <c r="K88" s="90"/>
      <c r="L88" s="90"/>
      <c r="M88" s="90"/>
      <c r="N88" s="90"/>
      <c r="O88" s="92"/>
      <c r="P88" s="90"/>
      <c r="Q88" s="92"/>
      <c r="R88" s="90"/>
      <c r="S88" s="92"/>
      <c r="T88" s="90"/>
      <c r="U88" s="92"/>
      <c r="V88" s="90"/>
      <c r="W88" s="80"/>
      <c r="X88" s="90"/>
    </row>
    <row r="89" spans="2:25" x14ac:dyDescent="0.3">
      <c r="F89" s="82"/>
      <c r="G89" s="82"/>
      <c r="H89" s="82"/>
      <c r="I89" s="82"/>
      <c r="J89" s="82"/>
      <c r="K89" s="82"/>
      <c r="L89" s="82"/>
      <c r="M89" s="82"/>
      <c r="N89" s="82"/>
      <c r="O89" s="87"/>
      <c r="P89" s="82"/>
      <c r="Q89" s="87"/>
      <c r="R89" s="82"/>
      <c r="S89" s="87"/>
      <c r="T89" s="82"/>
      <c r="U89" s="87"/>
      <c r="V89" s="82"/>
      <c r="W89" s="87"/>
      <c r="X89" s="82"/>
    </row>
    <row r="90" spans="2:25" x14ac:dyDescent="0.3">
      <c r="B90" s="455" t="s">
        <v>96</v>
      </c>
      <c r="C90" s="455"/>
      <c r="D90" s="455"/>
      <c r="F90" s="89">
        <f>F87</f>
        <v>142.86852036888183</v>
      </c>
      <c r="G90" s="91"/>
      <c r="H90" s="89">
        <f>H87</f>
        <v>167.01560803415617</v>
      </c>
      <c r="I90" s="91"/>
      <c r="J90" s="89">
        <f>J87</f>
        <v>197.04634396679313</v>
      </c>
      <c r="K90" s="91"/>
      <c r="L90" s="89">
        <f>L87</f>
        <v>240.38115176912876</v>
      </c>
      <c r="M90" s="91"/>
      <c r="N90" s="89">
        <f>N87</f>
        <v>281.23267545622053</v>
      </c>
      <c r="O90" s="92"/>
      <c r="P90" s="89">
        <f>P87</f>
        <v>314.98007118475817</v>
      </c>
      <c r="Q90" s="92"/>
      <c r="R90" s="89">
        <f>R87</f>
        <v>373.11599198625009</v>
      </c>
      <c r="S90" s="92"/>
      <c r="T90" s="89">
        <f>T87</f>
        <v>420.86278124772298</v>
      </c>
      <c r="U90" s="92"/>
      <c r="V90" s="89">
        <f>V87</f>
        <v>480.53498764368777</v>
      </c>
      <c r="W90" s="92"/>
      <c r="X90" s="89">
        <f>X87</f>
        <v>574.51506315888366</v>
      </c>
      <c r="Y90" s="94"/>
    </row>
  </sheetData>
  <mergeCells count="13">
    <mergeCell ref="B33:B38"/>
    <mergeCell ref="B5:D5"/>
    <mergeCell ref="B7:D7"/>
    <mergeCell ref="B11:B13"/>
    <mergeCell ref="B17:B22"/>
    <mergeCell ref="B25:B30"/>
    <mergeCell ref="B90:D90"/>
    <mergeCell ref="B41:B46"/>
    <mergeCell ref="B49:B54"/>
    <mergeCell ref="B57:B62"/>
    <mergeCell ref="B65:B70"/>
    <mergeCell ref="B73:B78"/>
    <mergeCell ref="B81:B87"/>
  </mergeCells>
  <pageMargins left="0.70866141732283505" right="0.70866141732283505" top="0.74803149606299202" bottom="0.74803149606299202" header="0.31496062992126" footer="0.31496062992126"/>
  <pageSetup paperSize="9" scale="80" fitToHeight="0" orientation="landscape" errors="blank" r:id="rId1"/>
  <headerFooter>
    <oddFooter>&amp;C&amp;"Ubuntu,Regular"&amp;K346D9CPage &amp;P of &amp;N</oddFooter>
  </headerFooter>
  <rowBreaks count="1" manualBreakCount="1">
    <brk id="4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4879-3D15-4BD5-95D6-BD3549128B96}">
  <sheetPr>
    <tabColor rgb="FF7030A0"/>
    <pageSetUpPr fitToPage="1"/>
  </sheetPr>
  <dimension ref="A1:AV52"/>
  <sheetViews>
    <sheetView showGridLines="0" zoomScaleNormal="100" zoomScaleSheetLayoutView="100" workbookViewId="0">
      <selection activeCell="F1" sqref="F1"/>
    </sheetView>
  </sheetViews>
  <sheetFormatPr defaultColWidth="8.6640625" defaultRowHeight="14.4" x14ac:dyDescent="0.3"/>
  <cols>
    <col min="1" max="1" width="3.44140625" style="6" customWidth="1"/>
    <col min="2" max="2" width="6.44140625" style="45" bestFit="1" customWidth="1"/>
    <col min="3" max="3" width="0.77734375" style="3" customWidth="1"/>
    <col min="4" max="4" width="50.21875" style="3" customWidth="1"/>
    <col min="5" max="5" width="0.77734375" style="3" customWidth="1"/>
    <col min="6" max="6" width="10.77734375" style="3" bestFit="1" customWidth="1"/>
    <col min="7" max="7" width="0.77734375" style="3" customWidth="1"/>
    <col min="8" max="8" width="10.77734375" style="3" bestFit="1" customWidth="1"/>
    <col min="9" max="9" width="0.77734375" style="3" customWidth="1"/>
    <col min="10" max="10" width="10.77734375" style="3" bestFit="1" customWidth="1"/>
    <col min="11" max="11" width="0.77734375" style="3" customWidth="1"/>
    <col min="12" max="12" width="10.77734375" style="3" bestFit="1" customWidth="1"/>
    <col min="13" max="13" width="0.77734375" style="3" customWidth="1"/>
    <col min="14" max="14" width="10.77734375" style="3" bestFit="1" customWidth="1"/>
    <col min="15" max="15" width="0.77734375" style="3" customWidth="1"/>
    <col min="16" max="16" width="10.77734375" style="3" customWidth="1"/>
    <col min="17" max="17" width="0.77734375" style="3" customWidth="1"/>
    <col min="18" max="18" width="10.77734375" style="3" customWidth="1"/>
    <col min="19" max="19" width="0.77734375" style="3" customWidth="1"/>
    <col min="20" max="20" width="10.77734375" style="3" customWidth="1"/>
    <col min="21" max="21" width="0.77734375" style="3" customWidth="1"/>
    <col min="22" max="22" width="10.77734375" style="3" customWidth="1"/>
    <col min="23" max="23" width="0.77734375" style="3" customWidth="1"/>
    <col min="24" max="25" width="10.77734375" style="3" customWidth="1"/>
    <col min="26" max="16384" width="8.6640625" style="3"/>
  </cols>
  <sheetData>
    <row r="1" spans="1:48" x14ac:dyDescent="0.3">
      <c r="A1" s="1"/>
    </row>
    <row r="2" spans="1:48" s="4" customFormat="1" ht="21" x14ac:dyDescent="0.3">
      <c r="A2" s="6"/>
      <c r="B2" s="7" t="s">
        <v>97</v>
      </c>
      <c r="C2" s="9"/>
      <c r="D2" s="2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48" s="4" customFormat="1" ht="18" customHeight="1" x14ac:dyDescent="0.3">
      <c r="A3" s="6"/>
      <c r="B3" s="95"/>
      <c r="C3" s="9"/>
      <c r="D3" s="29"/>
      <c r="E3" s="9"/>
      <c r="F3" s="10"/>
      <c r="G3" s="10"/>
      <c r="H3" s="10"/>
      <c r="I3" s="10"/>
      <c r="J3" s="10"/>
      <c r="K3" s="10"/>
      <c r="L3" s="10"/>
      <c r="M3" s="10"/>
      <c r="O3" s="31"/>
      <c r="P3" s="31"/>
      <c r="Q3" s="31"/>
      <c r="R3" s="31"/>
      <c r="S3" s="31"/>
      <c r="T3" s="31"/>
      <c r="U3" s="31"/>
      <c r="V3" s="31"/>
      <c r="W3" s="31"/>
      <c r="X3" s="31" t="str">
        <f>Do</f>
        <v>(₹ in Lakhs)</v>
      </c>
      <c r="Y3" s="31"/>
      <c r="Z3" s="24"/>
    </row>
    <row r="4" spans="1:48" s="4" customFormat="1" ht="5.0999999999999996" customHeight="1" x14ac:dyDescent="0.3">
      <c r="A4" s="6"/>
      <c r="B4" s="2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48" s="4" customFormat="1" ht="18" customHeight="1" x14ac:dyDescent="0.3">
      <c r="A5" s="6"/>
      <c r="B5" s="12" t="s">
        <v>1</v>
      </c>
      <c r="D5" s="32" t="s">
        <v>2</v>
      </c>
      <c r="F5" s="14" t="str">
        <f>'P&amp;L'!F5</f>
        <v>2025-26</v>
      </c>
      <c r="G5" s="24"/>
      <c r="H5" s="14" t="str">
        <f>'P&amp;L'!G5</f>
        <v>2026-27</v>
      </c>
      <c r="I5" s="24"/>
      <c r="J5" s="14" t="str">
        <f>'P&amp;L'!H5</f>
        <v>2027-28</v>
      </c>
      <c r="K5" s="24"/>
      <c r="L5" s="14" t="str">
        <f>'P&amp;L'!I5</f>
        <v>2028-29</v>
      </c>
      <c r="M5" s="24"/>
      <c r="N5" s="14" t="str">
        <f>'P&amp;L'!J5</f>
        <v>2029-30</v>
      </c>
      <c r="O5" s="75"/>
      <c r="P5" s="14" t="str">
        <f>'P&amp;L'!K5</f>
        <v>2030-31</v>
      </c>
      <c r="Q5" s="75"/>
      <c r="R5" s="14" t="str">
        <f>'P&amp;L'!L5</f>
        <v>2031-32</v>
      </c>
      <c r="S5" s="75"/>
      <c r="T5" s="14" t="str">
        <f>'P&amp;L'!M5</f>
        <v>2032-33</v>
      </c>
      <c r="U5" s="75"/>
      <c r="V5" s="14" t="str">
        <f>'P&amp;L'!N5</f>
        <v>2033-34</v>
      </c>
      <c r="W5" s="75"/>
      <c r="X5" s="14" t="str">
        <f>'P&amp;L'!O5</f>
        <v>2034-35</v>
      </c>
      <c r="Y5" s="75"/>
    </row>
    <row r="6" spans="1:48" s="4" customFormat="1" ht="5.0999999999999996" customHeight="1" x14ac:dyDescent="0.3">
      <c r="A6" s="6"/>
      <c r="B6" s="2"/>
    </row>
    <row r="7" spans="1:48" s="22" customFormat="1" x14ac:dyDescent="0.3">
      <c r="A7" s="6"/>
      <c r="B7" s="21" t="s">
        <v>12</v>
      </c>
      <c r="C7" s="49"/>
      <c r="D7" s="55" t="s">
        <v>98</v>
      </c>
      <c r="E7" s="49"/>
      <c r="F7" s="96">
        <f>'P&amp;L'!F7</f>
        <v>630</v>
      </c>
      <c r="G7" s="49"/>
      <c r="H7" s="96">
        <f>'P&amp;L'!G7</f>
        <v>2154</v>
      </c>
      <c r="I7" s="49"/>
      <c r="J7" s="96">
        <f>'P&amp;L'!H7</f>
        <v>3816</v>
      </c>
      <c r="K7" s="49"/>
      <c r="L7" s="96">
        <f>'P&amp;L'!I7</f>
        <v>5942.0850000000009</v>
      </c>
      <c r="M7" s="49"/>
      <c r="N7" s="96">
        <f>'P&amp;L'!J7</f>
        <v>8682.983250000003</v>
      </c>
      <c r="O7" s="97"/>
      <c r="P7" s="96">
        <f>'P&amp;L'!K7</f>
        <v>11295.180712500003</v>
      </c>
      <c r="Q7" s="97"/>
      <c r="R7" s="96">
        <f>'P&amp;L'!L7</f>
        <v>14349.934213125005</v>
      </c>
      <c r="S7" s="97"/>
      <c r="T7" s="96">
        <f>'P&amp;L'!M7</f>
        <v>18092.388263156259</v>
      </c>
      <c r="U7" s="97"/>
      <c r="V7" s="96">
        <f>'P&amp;L'!N7</f>
        <v>22500.973148282821</v>
      </c>
      <c r="W7" s="97"/>
      <c r="X7" s="96">
        <f>'P&amp;L'!O7</f>
        <v>27721.847627045401</v>
      </c>
      <c r="Y7" s="97"/>
    </row>
    <row r="8" spans="1:48" s="4" customFormat="1" ht="5.0999999999999996" customHeight="1" x14ac:dyDescent="0.3">
      <c r="A8" s="6"/>
      <c r="B8" s="2"/>
    </row>
    <row r="9" spans="1:48" ht="15.6" x14ac:dyDescent="0.3">
      <c r="B9" s="443" t="s">
        <v>99</v>
      </c>
      <c r="C9" s="443"/>
      <c r="D9" s="443"/>
    </row>
    <row r="10" spans="1:48" s="4" customFormat="1" ht="5.0999999999999996" customHeight="1" x14ac:dyDescent="0.3">
      <c r="A10" s="6"/>
      <c r="B10" s="2"/>
    </row>
    <row r="11" spans="1:48" x14ac:dyDescent="0.3">
      <c r="B11" s="15" t="s">
        <v>16</v>
      </c>
      <c r="D11" s="53" t="s">
        <v>100</v>
      </c>
      <c r="F11" s="38">
        <f>'P&amp;L'!F17</f>
        <v>272.39999999999998</v>
      </c>
      <c r="G11" s="4"/>
      <c r="H11" s="38">
        <f>'P&amp;L'!G17</f>
        <v>1088.94</v>
      </c>
      <c r="I11" s="4"/>
      <c r="J11" s="38">
        <f>'P&amp;L'!H17</f>
        <v>1818.6450000000002</v>
      </c>
      <c r="K11" s="4"/>
      <c r="L11" s="38">
        <f>'P&amp;L'!I17</f>
        <v>2682.0049500000005</v>
      </c>
      <c r="M11" s="4"/>
      <c r="N11" s="38">
        <f>'P&amp;L'!J17</f>
        <v>3850.5811275000005</v>
      </c>
      <c r="O11" s="37"/>
      <c r="P11" s="38">
        <f>'P&amp;L'!K17</f>
        <v>4947.2553723750007</v>
      </c>
      <c r="Q11" s="37"/>
      <c r="R11" s="38">
        <f>'P&amp;L'!L17</f>
        <v>6282.8625264187513</v>
      </c>
      <c r="S11" s="37"/>
      <c r="T11" s="38">
        <f>'P&amp;L'!M17</f>
        <v>7950.0488913084391</v>
      </c>
      <c r="U11" s="37"/>
      <c r="V11" s="38">
        <f>'P&amp;L'!N17</f>
        <v>9993.4588255897979</v>
      </c>
      <c r="W11" s="37"/>
      <c r="X11" s="38">
        <f>'P&amp;L'!O17</f>
        <v>12508.27990271946</v>
      </c>
      <c r="Y11" s="37"/>
    </row>
    <row r="12" spans="1:48" s="4" customFormat="1" ht="5.0999999999999996" customHeight="1" x14ac:dyDescent="0.3">
      <c r="A12" s="6"/>
      <c r="B12" s="2"/>
    </row>
    <row r="13" spans="1:48" x14ac:dyDescent="0.3">
      <c r="B13" s="15" t="s">
        <v>18</v>
      </c>
      <c r="D13" s="53" t="s">
        <v>101</v>
      </c>
      <c r="F13" s="38">
        <f>'P&amp;L'!F30</f>
        <v>101.25</v>
      </c>
      <c r="G13" s="4"/>
      <c r="H13" s="38">
        <f>'P&amp;L'!G30</f>
        <v>238.50000000000003</v>
      </c>
      <c r="I13" s="4"/>
      <c r="J13" s="38">
        <f>'P&amp;L'!H30</f>
        <v>459.00000000000006</v>
      </c>
      <c r="K13" s="4"/>
      <c r="L13" s="38">
        <f>'P&amp;L'!I30</f>
        <v>782.02125000000024</v>
      </c>
      <c r="M13" s="4"/>
      <c r="N13" s="38">
        <f>'P&amp;L'!J30</f>
        <v>1166.1958125000006</v>
      </c>
      <c r="O13" s="37"/>
      <c r="P13" s="38">
        <f>'P&amp;L'!K30</f>
        <v>1551.6301781250008</v>
      </c>
      <c r="Q13" s="37"/>
      <c r="R13" s="38">
        <f>'P&amp;L'!L30</f>
        <v>1975.8565532812513</v>
      </c>
      <c r="S13" s="37"/>
      <c r="T13" s="38">
        <f>'P&amp;L'!M30</f>
        <v>2480.7163407890644</v>
      </c>
      <c r="U13" s="37"/>
      <c r="V13" s="38">
        <f>'P&amp;L'!N30</f>
        <v>3036.0663133207054</v>
      </c>
      <c r="W13" s="37"/>
      <c r="X13" s="38">
        <f>'P&amp;L'!O30</f>
        <v>3646.9293018238504</v>
      </c>
      <c r="Y13" s="37"/>
    </row>
    <row r="14" spans="1:48" s="4" customFormat="1" ht="5.0999999999999996" customHeight="1" x14ac:dyDescent="0.3">
      <c r="A14" s="6"/>
      <c r="B14" s="2"/>
    </row>
    <row r="15" spans="1:48" x14ac:dyDescent="0.3">
      <c r="B15" s="15" t="s">
        <v>30</v>
      </c>
      <c r="D15" s="53" t="s">
        <v>102</v>
      </c>
      <c r="F15" s="38">
        <f>'P&amp;L'!F32</f>
        <v>20.25</v>
      </c>
      <c r="G15" s="4"/>
      <c r="H15" s="38">
        <f>'P&amp;L'!G32</f>
        <v>47.70000000000001</v>
      </c>
      <c r="I15" s="4"/>
      <c r="J15" s="38">
        <f>'P&amp;L'!H32</f>
        <v>91.800000000000011</v>
      </c>
      <c r="K15" s="4"/>
      <c r="L15" s="38">
        <f>'P&amp;L'!I32</f>
        <v>156.40425000000005</v>
      </c>
      <c r="M15" s="4"/>
      <c r="N15" s="38">
        <f>'P&amp;L'!J32</f>
        <v>233.23916250000013</v>
      </c>
      <c r="O15" s="37"/>
      <c r="P15" s="38">
        <f>'P&amp;L'!K32</f>
        <v>310.3260356250002</v>
      </c>
      <c r="Q15" s="37"/>
      <c r="R15" s="38">
        <f>'P&amp;L'!L32</f>
        <v>395.17131065625028</v>
      </c>
      <c r="S15" s="37"/>
      <c r="T15" s="38">
        <f>'P&amp;L'!M32</f>
        <v>496.14326815781288</v>
      </c>
      <c r="U15" s="37"/>
      <c r="V15" s="38">
        <f>'P&amp;L'!N32</f>
        <v>607.2132626641411</v>
      </c>
      <c r="W15" s="37"/>
      <c r="X15" s="38">
        <f>'P&amp;L'!O32</f>
        <v>729.38586036477011</v>
      </c>
      <c r="Y15" s="37"/>
    </row>
    <row r="16" spans="1:48" s="4" customFormat="1" ht="5.0999999999999996" customHeight="1" x14ac:dyDescent="0.3">
      <c r="A16" s="6"/>
      <c r="B16" s="2"/>
      <c r="D16" s="33"/>
      <c r="AV16" s="33"/>
    </row>
    <row r="17" spans="1:25" x14ac:dyDescent="0.3">
      <c r="B17" s="15" t="s">
        <v>103</v>
      </c>
      <c r="D17" s="53" t="s">
        <v>104</v>
      </c>
      <c r="F17" s="38">
        <f>'P&amp;L'!F36</f>
        <v>13.5</v>
      </c>
      <c r="G17" s="4"/>
      <c r="H17" s="38">
        <f>'P&amp;L'!G36</f>
        <v>16.2</v>
      </c>
      <c r="I17" s="4"/>
      <c r="J17" s="38">
        <f>'P&amp;L'!H36</f>
        <v>20.25</v>
      </c>
      <c r="K17" s="4"/>
      <c r="L17" s="38">
        <f>'P&amp;L'!I36</f>
        <v>25.3125</v>
      </c>
      <c r="M17" s="4"/>
      <c r="N17" s="38">
        <f>'P&amp;L'!J36</f>
        <v>31.640625</v>
      </c>
      <c r="O17" s="37"/>
      <c r="P17" s="38">
        <f>'P&amp;L'!K36</f>
        <v>39.55078125</v>
      </c>
      <c r="Q17" s="37"/>
      <c r="R17" s="38">
        <f>'P&amp;L'!L36</f>
        <v>49.4384765625</v>
      </c>
      <c r="S17" s="37"/>
      <c r="T17" s="38">
        <f>'P&amp;L'!M36</f>
        <v>61.798095703125</v>
      </c>
      <c r="U17" s="37"/>
      <c r="V17" s="38">
        <f>'P&amp;L'!N36</f>
        <v>77.24761962890625</v>
      </c>
      <c r="W17" s="37"/>
      <c r="X17" s="38">
        <f>'P&amp;L'!O36</f>
        <v>96.559524536132813</v>
      </c>
      <c r="Y17" s="37"/>
    </row>
    <row r="18" spans="1:25" s="4" customFormat="1" ht="5.0999999999999996" customHeight="1" x14ac:dyDescent="0.3">
      <c r="A18" s="6"/>
      <c r="B18" s="2"/>
    </row>
    <row r="19" spans="1:25" x14ac:dyDescent="0.3">
      <c r="B19" s="15" t="s">
        <v>105</v>
      </c>
      <c r="D19" s="53" t="s">
        <v>106</v>
      </c>
      <c r="F19" s="38">
        <f>'P&amp;L'!F38</f>
        <v>10.8</v>
      </c>
      <c r="G19" s="4"/>
      <c r="H19" s="38">
        <f>'P&amp;L'!G38</f>
        <v>31.680000000000007</v>
      </c>
      <c r="I19" s="4"/>
      <c r="J19" s="38">
        <f>'P&amp;L'!H38</f>
        <v>65.34</v>
      </c>
      <c r="K19" s="4"/>
      <c r="L19" s="38">
        <f>'P&amp;L'!I38</f>
        <v>114.99840000000005</v>
      </c>
      <c r="M19" s="4"/>
      <c r="N19" s="38">
        <f>'P&amp;L'!J38</f>
        <v>173.93508000000008</v>
      </c>
      <c r="O19" s="37"/>
      <c r="P19" s="38">
        <f>'P&amp;L'!K38</f>
        <v>232.44051600000014</v>
      </c>
      <c r="Q19" s="37"/>
      <c r="R19" s="38">
        <f>'P&amp;L'!L38</f>
        <v>296.36165790000024</v>
      </c>
      <c r="S19" s="37"/>
      <c r="T19" s="38">
        <f>'P&amp;L'!M38</f>
        <v>372.19537624500032</v>
      </c>
      <c r="U19" s="37"/>
      <c r="V19" s="38">
        <f>'P&amp;L'!N38</f>
        <v>454.87156227975038</v>
      </c>
      <c r="W19" s="37"/>
      <c r="X19" s="38">
        <f>'P&amp;L'!O38</f>
        <v>544.88487847736292</v>
      </c>
      <c r="Y19" s="37"/>
    </row>
    <row r="20" spans="1:25" s="4" customFormat="1" ht="5.0999999999999996" customHeight="1" x14ac:dyDescent="0.3">
      <c r="A20" s="6"/>
      <c r="B20" s="2"/>
    </row>
    <row r="21" spans="1:25" s="4" customFormat="1" ht="5.0999999999999996" customHeight="1" x14ac:dyDescent="0.3">
      <c r="A21" s="6"/>
      <c r="B21" s="2"/>
      <c r="D21" s="33"/>
    </row>
    <row r="22" spans="1:25" s="4" customFormat="1" ht="5.0999999999999996" customHeight="1" x14ac:dyDescent="0.3">
      <c r="A22" s="6"/>
      <c r="B22" s="2"/>
    </row>
    <row r="23" spans="1:25" s="22" customFormat="1" x14ac:dyDescent="0.3">
      <c r="A23" s="6"/>
      <c r="B23" s="21" t="s">
        <v>107</v>
      </c>
      <c r="D23" s="55" t="s">
        <v>108</v>
      </c>
      <c r="F23" s="96">
        <f>SUM(F11:F21)</f>
        <v>418.2</v>
      </c>
      <c r="G23" s="49"/>
      <c r="H23" s="96">
        <f>SUM(H11:H21)</f>
        <v>1423.0200000000002</v>
      </c>
      <c r="I23" s="49"/>
      <c r="J23" s="96">
        <f>SUM(J11:J21)</f>
        <v>2455.0350000000008</v>
      </c>
      <c r="K23" s="49"/>
      <c r="L23" s="96">
        <f>SUM(L11:L21)</f>
        <v>3760.7413500000007</v>
      </c>
      <c r="M23" s="49"/>
      <c r="N23" s="96">
        <f>SUM(N11:N21)</f>
        <v>5455.5918075000018</v>
      </c>
      <c r="O23" s="97"/>
      <c r="P23" s="96">
        <f>SUM(P11:P21)</f>
        <v>7081.2028833750019</v>
      </c>
      <c r="Q23" s="97"/>
      <c r="R23" s="96">
        <f>SUM(R11:R21)</f>
        <v>8999.6905248187541</v>
      </c>
      <c r="S23" s="97"/>
      <c r="T23" s="96">
        <f>SUM(T11:T21)</f>
        <v>11360.901972203443</v>
      </c>
      <c r="U23" s="97"/>
      <c r="V23" s="96">
        <f>SUM(V11:V21)</f>
        <v>14168.857583483301</v>
      </c>
      <c r="W23" s="97"/>
      <c r="X23" s="96">
        <f>SUM(X11:X21)</f>
        <v>17526.039467921575</v>
      </c>
      <c r="Y23" s="97"/>
    </row>
    <row r="24" spans="1:25" ht="7.2" customHeight="1" x14ac:dyDescent="0.3"/>
    <row r="25" spans="1:25" x14ac:dyDescent="0.3">
      <c r="B25" s="15" t="s">
        <v>109</v>
      </c>
      <c r="D25" s="53" t="s">
        <v>110</v>
      </c>
      <c r="F25" s="38">
        <f>F7-F23</f>
        <v>211.8</v>
      </c>
      <c r="G25" s="4"/>
      <c r="H25" s="38">
        <f>H7-H23</f>
        <v>730.97999999999979</v>
      </c>
      <c r="I25" s="4"/>
      <c r="J25" s="38">
        <f>J7-J23</f>
        <v>1360.9649999999992</v>
      </c>
      <c r="K25" s="4"/>
      <c r="L25" s="38">
        <f>L7-L23</f>
        <v>2181.3436500000003</v>
      </c>
      <c r="M25" s="4"/>
      <c r="N25" s="38">
        <f>N7-N23</f>
        <v>3227.3914425000012</v>
      </c>
      <c r="O25" s="37"/>
      <c r="P25" s="38">
        <f>P7-P23</f>
        <v>4213.9778291250013</v>
      </c>
      <c r="Q25" s="37"/>
      <c r="R25" s="38">
        <f>R7-R23</f>
        <v>5350.243688306251</v>
      </c>
      <c r="S25" s="37"/>
      <c r="T25" s="38">
        <f>T7-T23</f>
        <v>6731.4862909528165</v>
      </c>
      <c r="U25" s="37"/>
      <c r="V25" s="38">
        <f>V7-V23</f>
        <v>8332.1155647995201</v>
      </c>
      <c r="W25" s="37"/>
      <c r="X25" s="38">
        <f>X7-X23</f>
        <v>10195.808159123826</v>
      </c>
      <c r="Y25" s="37"/>
    </row>
    <row r="26" spans="1:25" s="4" customFormat="1" ht="5.0999999999999996" customHeight="1" x14ac:dyDescent="0.3">
      <c r="A26" s="6"/>
      <c r="B26" s="2"/>
    </row>
    <row r="27" spans="1:25" x14ac:dyDescent="0.3">
      <c r="B27" s="15" t="s">
        <v>111</v>
      </c>
      <c r="D27" s="53" t="s">
        <v>112</v>
      </c>
      <c r="F27" s="38">
        <f>F25/F7</f>
        <v>0.33619047619047621</v>
      </c>
      <c r="G27" s="4"/>
      <c r="H27" s="38">
        <f>H25/H7</f>
        <v>0.33935933147632302</v>
      </c>
      <c r="I27" s="4"/>
      <c r="J27" s="38">
        <f>J25/J7</f>
        <v>0.35664701257861614</v>
      </c>
      <c r="K27" s="4"/>
      <c r="L27" s="38">
        <f>L25/L7</f>
        <v>0.36710071464814115</v>
      </c>
      <c r="M27" s="4"/>
      <c r="N27" s="38">
        <f>N25/N7</f>
        <v>0.37169154305347762</v>
      </c>
      <c r="O27" s="37"/>
      <c r="P27" s="38">
        <f>P25/P7</f>
        <v>0.37307750414843133</v>
      </c>
      <c r="Q27" s="37"/>
      <c r="R27" s="38">
        <f>R25/R7</f>
        <v>0.37284099068640408</v>
      </c>
      <c r="S27" s="37"/>
      <c r="T27" s="38">
        <f>T25/T7</f>
        <v>0.37206178604186624</v>
      </c>
      <c r="U27" s="37"/>
      <c r="V27" s="38">
        <f>V25/V7</f>
        <v>0.37030023145622892</v>
      </c>
      <c r="W27" s="37"/>
      <c r="X27" s="38">
        <f>X25/X7</f>
        <v>0.36778963279405691</v>
      </c>
      <c r="Y27" s="37"/>
    </row>
    <row r="28" spans="1:25" ht="9" customHeight="1" x14ac:dyDescent="0.3"/>
    <row r="29" spans="1:25" ht="15.6" x14ac:dyDescent="0.3">
      <c r="B29" s="443" t="s">
        <v>113</v>
      </c>
      <c r="C29" s="443"/>
      <c r="D29" s="443"/>
    </row>
    <row r="30" spans="1:25" s="4" customFormat="1" ht="5.0999999999999996" customHeight="1" x14ac:dyDescent="0.3">
      <c r="A30" s="6"/>
      <c r="B30" s="2"/>
    </row>
    <row r="31" spans="1:25" x14ac:dyDescent="0.3">
      <c r="B31" s="15" t="s">
        <v>114</v>
      </c>
      <c r="D31" s="53" t="s">
        <v>115</v>
      </c>
      <c r="F31" s="38">
        <f>'P&amp;L'!F34</f>
        <v>27</v>
      </c>
      <c r="G31" s="4"/>
      <c r="H31" s="38">
        <f>'P&amp;L'!G34</f>
        <v>79.200000000000017</v>
      </c>
      <c r="I31" s="4"/>
      <c r="J31" s="38">
        <f>'P&amp;L'!H34</f>
        <v>163.35000000000002</v>
      </c>
      <c r="K31" s="4"/>
      <c r="L31" s="38">
        <f>'P&amp;L'!I34</f>
        <v>287.49600000000009</v>
      </c>
      <c r="M31" s="4"/>
      <c r="N31" s="38">
        <f>'P&amp;L'!J34</f>
        <v>434.83770000000027</v>
      </c>
      <c r="O31" s="37"/>
      <c r="P31" s="38">
        <f>'P&amp;L'!K34</f>
        <v>581.1012900000004</v>
      </c>
      <c r="Q31" s="37"/>
      <c r="R31" s="38">
        <f>'P&amp;L'!L34</f>
        <v>740.90414475000057</v>
      </c>
      <c r="S31" s="37"/>
      <c r="T31" s="38">
        <f>'P&amp;L'!M34</f>
        <v>930.48844061250077</v>
      </c>
      <c r="U31" s="37"/>
      <c r="V31" s="38">
        <f>'P&amp;L'!N34</f>
        <v>1137.1789056993759</v>
      </c>
      <c r="W31" s="37"/>
      <c r="X31" s="38">
        <f>'P&amp;L'!O34</f>
        <v>1362.2121961934074</v>
      </c>
      <c r="Y31" s="37"/>
    </row>
    <row r="32" spans="1:25" s="4" customFormat="1" ht="5.0999999999999996" customHeight="1" x14ac:dyDescent="0.3">
      <c r="A32" s="6"/>
      <c r="B32" s="2"/>
      <c r="D32" s="54"/>
    </row>
    <row r="33" spans="1:25" x14ac:dyDescent="0.3">
      <c r="B33" s="15" t="s">
        <v>116</v>
      </c>
      <c r="D33" s="17" t="s">
        <v>117</v>
      </c>
      <c r="F33" s="38">
        <f>'P&amp;L'!F44</f>
        <v>37.351707531118187</v>
      </c>
      <c r="G33" s="4"/>
      <c r="H33" s="38">
        <f>'P&amp;L'!G44</f>
        <v>39.852912334725659</v>
      </c>
      <c r="I33" s="4"/>
      <c r="J33" s="38">
        <f>'P&amp;L'!H44</f>
        <v>44.969264067363056</v>
      </c>
      <c r="K33" s="4"/>
      <c r="L33" s="38">
        <f>'P&amp;L'!I44</f>
        <v>53.665192197664368</v>
      </c>
      <c r="M33" s="4"/>
      <c r="N33" s="38">
        <f>'P&amp;L'!J44</f>
        <v>62.148476312908265</v>
      </c>
      <c r="O33" s="37"/>
      <c r="P33" s="38">
        <f>'P&amp;L'!K44</f>
        <v>69.252604271462346</v>
      </c>
      <c r="Q33" s="37"/>
      <c r="R33" s="38">
        <f>'P&amp;L'!L44</f>
        <v>81.864079198508094</v>
      </c>
      <c r="S33" s="37"/>
      <c r="T33" s="38">
        <f>'P&amp;L'!M44</f>
        <v>92.253210738527073</v>
      </c>
      <c r="U33" s="37"/>
      <c r="V33" s="38">
        <f>'P&amp;L'!N44</f>
        <v>105.32779360403521</v>
      </c>
      <c r="W33" s="37"/>
      <c r="X33" s="38">
        <f>'P&amp;L'!O44</f>
        <v>126.01992448480416</v>
      </c>
      <c r="Y33" s="37"/>
    </row>
    <row r="34" spans="1:25" s="4" customFormat="1" ht="5.0999999999999996" customHeight="1" x14ac:dyDescent="0.3">
      <c r="A34" s="6"/>
      <c r="B34" s="2"/>
      <c r="D34" s="54"/>
    </row>
    <row r="35" spans="1:25" x14ac:dyDescent="0.3">
      <c r="B35" s="15" t="s">
        <v>118</v>
      </c>
      <c r="D35" s="17" t="s">
        <v>57</v>
      </c>
      <c r="F35" s="38">
        <f>'P&amp;L'!F49</f>
        <v>179.66495140251976</v>
      </c>
      <c r="G35" s="4"/>
      <c r="H35" s="38">
        <f>'P&amp;L'!G49</f>
        <v>173.6752757722104</v>
      </c>
      <c r="I35" s="4"/>
      <c r="J35" s="38">
        <f>'P&amp;L'!H49</f>
        <v>167.01762314594339</v>
      </c>
      <c r="K35" s="4"/>
      <c r="L35" s="38">
        <f>'P&amp;L'!I49</f>
        <v>159.61465918129514</v>
      </c>
      <c r="M35" s="4"/>
      <c r="N35" s="38">
        <f>'P&amp;L'!J49</f>
        <v>151.37989135057518</v>
      </c>
      <c r="O35" s="37"/>
      <c r="P35" s="38">
        <f>'P&amp;L'!K49</f>
        <v>142.3114352230298</v>
      </c>
      <c r="Q35" s="37"/>
      <c r="R35" s="38">
        <f>'P&amp;L'!L49</f>
        <v>135.77613742875874</v>
      </c>
      <c r="S35" s="37"/>
      <c r="T35" s="38">
        <f>'P&amp;L'!M49</f>
        <v>132.76350374239027</v>
      </c>
      <c r="U35" s="37"/>
      <c r="V35" s="38">
        <f>'P&amp;L'!N49</f>
        <v>129.48547027967638</v>
      </c>
      <c r="W35" s="37"/>
      <c r="X35" s="38">
        <f>'P&amp;L'!O49</f>
        <v>125.91700419276026</v>
      </c>
      <c r="Y35" s="37"/>
    </row>
    <row r="36" spans="1:25" s="4" customFormat="1" ht="5.0999999999999996" customHeight="1" x14ac:dyDescent="0.3">
      <c r="A36" s="6"/>
      <c r="B36" s="2"/>
      <c r="D36" s="54"/>
    </row>
    <row r="37" spans="1:25" x14ac:dyDescent="0.3">
      <c r="B37" s="15" t="s">
        <v>119</v>
      </c>
      <c r="D37" s="53" t="s">
        <v>60</v>
      </c>
      <c r="F37" s="38">
        <f>'P&amp;L'!F54</f>
        <v>0</v>
      </c>
      <c r="G37" s="4"/>
      <c r="H37" s="38">
        <f>'P&amp;L'!G54</f>
        <v>131.47554356791915</v>
      </c>
      <c r="I37" s="4"/>
      <c r="J37" s="38">
        <f>'P&amp;L'!H54</f>
        <v>417.4989797238357</v>
      </c>
      <c r="K37" s="4"/>
      <c r="L37" s="38">
        <f>'P&amp;L'!I54</f>
        <v>842.81431931014799</v>
      </c>
      <c r="M37" s="4"/>
      <c r="N37" s="38">
        <f>'P&amp;L'!J54</f>
        <v>728.90861245095539</v>
      </c>
      <c r="O37" s="37"/>
      <c r="P37" s="38">
        <f>'P&amp;L'!K54</f>
        <v>1026.3937498891526</v>
      </c>
      <c r="Q37" s="37"/>
      <c r="R37" s="38">
        <f>'P&amp;L'!L54</f>
        <v>1317.5097980786952</v>
      </c>
      <c r="S37" s="37"/>
      <c r="T37" s="38">
        <f>'P&amp;L'!M54</f>
        <v>1672.7943407578196</v>
      </c>
      <c r="U37" s="37"/>
      <c r="V37" s="38">
        <f>'P&amp;L'!N54</f>
        <v>2088.0370185649294</v>
      </c>
      <c r="W37" s="37"/>
      <c r="X37" s="38">
        <f>'P&amp;L'!O54</f>
        <v>2574.4977102758558</v>
      </c>
      <c r="Y37" s="37"/>
    </row>
    <row r="38" spans="1:25" s="4" customFormat="1" ht="5.0999999999999996" customHeight="1" x14ac:dyDescent="0.3">
      <c r="A38" s="6"/>
      <c r="B38" s="2"/>
      <c r="D38" s="54"/>
    </row>
    <row r="39" spans="1:25" s="22" customFormat="1" x14ac:dyDescent="0.3">
      <c r="A39" s="6"/>
      <c r="B39" s="21" t="s">
        <v>120</v>
      </c>
      <c r="D39" s="55" t="s">
        <v>121</v>
      </c>
      <c r="F39" s="96">
        <f>SUM(F31:F37)</f>
        <v>244.01665893363796</v>
      </c>
      <c r="G39" s="49"/>
      <c r="H39" s="96">
        <f>SUM(H31:H37)</f>
        <v>424.20373167485519</v>
      </c>
      <c r="I39" s="49"/>
      <c r="J39" s="96">
        <f>SUM(J31:J37)</f>
        <v>792.8358669371421</v>
      </c>
      <c r="K39" s="49"/>
      <c r="L39" s="96">
        <f>SUM(L31:L37)</f>
        <v>1343.5901706891077</v>
      </c>
      <c r="M39" s="49"/>
      <c r="N39" s="96">
        <f>SUM(N31:N37)</f>
        <v>1377.274680114439</v>
      </c>
      <c r="O39" s="97"/>
      <c r="P39" s="96">
        <f>SUM(P31:P37)</f>
        <v>1819.059079383645</v>
      </c>
      <c r="Q39" s="97"/>
      <c r="R39" s="96">
        <f>SUM(R31:R37)</f>
        <v>2276.0541594559627</v>
      </c>
      <c r="S39" s="97"/>
      <c r="T39" s="96">
        <f>SUM(T31:T37)</f>
        <v>2828.2994958512377</v>
      </c>
      <c r="U39" s="97"/>
      <c r="V39" s="96">
        <f>SUM(V31:V37)</f>
        <v>3460.0291881480171</v>
      </c>
      <c r="W39" s="97"/>
      <c r="X39" s="96">
        <f>SUM(X31:X37)</f>
        <v>4188.6468351468275</v>
      </c>
      <c r="Y39" s="97"/>
    </row>
    <row r="40" spans="1:25" ht="9" customHeight="1" x14ac:dyDescent="0.3"/>
    <row r="41" spans="1:25" x14ac:dyDescent="0.3">
      <c r="B41" s="15" t="s">
        <v>122</v>
      </c>
      <c r="D41" s="53" t="s">
        <v>123</v>
      </c>
      <c r="F41" s="38">
        <f>F39/F7</f>
        <v>0.38732803005339356</v>
      </c>
      <c r="G41" s="4"/>
      <c r="H41" s="38">
        <f>H39/H7</f>
        <v>0.19693766558721226</v>
      </c>
      <c r="I41" s="4"/>
      <c r="J41" s="38">
        <f>J39/J7</f>
        <v>0.20776621250973326</v>
      </c>
      <c r="K41" s="4"/>
      <c r="L41" s="38">
        <f>L39/L7</f>
        <v>0.22611426303883359</v>
      </c>
      <c r="M41" s="4"/>
      <c r="N41" s="38">
        <f>N39/N7</f>
        <v>0.15861768247847749</v>
      </c>
      <c r="O41" s="37"/>
      <c r="P41" s="38">
        <f>P39/P7</f>
        <v>0.16104736397626224</v>
      </c>
      <c r="Q41" s="37"/>
      <c r="R41" s="38">
        <f>R39/R7</f>
        <v>0.15861077309847146</v>
      </c>
      <c r="S41" s="37"/>
      <c r="T41" s="38">
        <f>T39/T7</f>
        <v>0.15632538140975283</v>
      </c>
      <c r="U41" s="37"/>
      <c r="V41" s="38">
        <f>V39/V7</f>
        <v>0.15377242421233109</v>
      </c>
      <c r="W41" s="37"/>
      <c r="X41" s="38">
        <f>X39/X7</f>
        <v>0.15109551468208737</v>
      </c>
      <c r="Y41" s="37"/>
    </row>
    <row r="42" spans="1:25" s="4" customFormat="1" ht="5.0999999999999996" customHeight="1" x14ac:dyDescent="0.3">
      <c r="A42" s="6"/>
      <c r="B42" s="2"/>
      <c r="D42" s="54"/>
    </row>
    <row r="43" spans="1:25" x14ac:dyDescent="0.3">
      <c r="B43" s="15" t="s">
        <v>124</v>
      </c>
      <c r="D43" s="53" t="s">
        <v>125</v>
      </c>
      <c r="F43" s="38">
        <f>F39/F27</f>
        <v>725.8285888960902</v>
      </c>
      <c r="G43" s="4"/>
      <c r="H43" s="38">
        <f>H39/H27</f>
        <v>1250.0134586823694</v>
      </c>
      <c r="I43" s="4"/>
      <c r="J43" s="38">
        <f>J39/J27</f>
        <v>2223.0267995371933</v>
      </c>
      <c r="K43" s="4"/>
      <c r="L43" s="38">
        <f>L39/L27</f>
        <v>3660.004236104287</v>
      </c>
      <c r="M43" s="4"/>
      <c r="N43" s="38">
        <f>N39/N27</f>
        <v>3705.4237737022759</v>
      </c>
      <c r="O43" s="37"/>
      <c r="P43" s="38">
        <f>P39/P27</f>
        <v>4875.8208660576875</v>
      </c>
      <c r="Q43" s="37"/>
      <c r="R43" s="38">
        <f>R39/R27</f>
        <v>6104.6242669448002</v>
      </c>
      <c r="S43" s="37"/>
      <c r="T43" s="38">
        <f>T39/T27</f>
        <v>7601.6930573272675</v>
      </c>
      <c r="U43" s="37"/>
      <c r="V43" s="38">
        <f>V39/V27</f>
        <v>9343.8482999085227</v>
      </c>
      <c r="W43" s="37"/>
      <c r="X43" s="38">
        <f>X39/X27</f>
        <v>11388.702838973855</v>
      </c>
      <c r="Y43" s="37"/>
    </row>
    <row r="44" spans="1:25" s="4" customFormat="1" ht="5.0999999999999996" customHeight="1" x14ac:dyDescent="0.3">
      <c r="A44" s="6"/>
      <c r="B44" s="2"/>
      <c r="D44" s="54"/>
    </row>
    <row r="45" spans="1:25" x14ac:dyDescent="0.3">
      <c r="B45" s="15" t="s">
        <v>126</v>
      </c>
      <c r="D45" s="53" t="s">
        <v>127</v>
      </c>
      <c r="F45" s="98">
        <f>F43/F7</f>
        <v>1.1521088712636351</v>
      </c>
      <c r="G45" s="99"/>
      <c r="H45" s="98">
        <f>H43/H7</f>
        <v>0.58032193996395987</v>
      </c>
      <c r="I45" s="99"/>
      <c r="J45" s="98">
        <f>J43/J7</f>
        <v>0.58255419275083675</v>
      </c>
      <c r="K45" s="99"/>
      <c r="L45" s="98">
        <f>L43/L7</f>
        <v>0.61594612599858234</v>
      </c>
      <c r="M45" s="99"/>
      <c r="N45" s="98">
        <f>N43/N7</f>
        <v>0.42674547065402602</v>
      </c>
      <c r="O45" s="100"/>
      <c r="P45" s="98">
        <f>P43/P7</f>
        <v>0.43167267440544599</v>
      </c>
      <c r="Q45" s="100"/>
      <c r="R45" s="98">
        <f>R43/R7</f>
        <v>0.42541130685890355</v>
      </c>
      <c r="S45" s="100"/>
      <c r="T45" s="98">
        <f>T43/T7</f>
        <v>0.42015973495370557</v>
      </c>
      <c r="U45" s="100"/>
      <c r="V45" s="98">
        <f>V43/V7</f>
        <v>0.41526418605684196</v>
      </c>
      <c r="W45" s="100"/>
      <c r="X45" s="98">
        <f>X43/X7</f>
        <v>0.41082048325895315</v>
      </c>
      <c r="Y45" s="100"/>
    </row>
    <row r="46" spans="1:25" ht="15.6" customHeight="1" x14ac:dyDescent="0.3"/>
    <row r="47" spans="1:25" s="22" customFormat="1" x14ac:dyDescent="0.3">
      <c r="A47" s="6"/>
      <c r="B47" s="21"/>
      <c r="C47" s="21"/>
      <c r="D47" s="55" t="s">
        <v>128</v>
      </c>
      <c r="F47" s="96">
        <f>AVERAGE(F43:X43)</f>
        <v>5087.8986186134352</v>
      </c>
    </row>
    <row r="48" spans="1:25" s="4" customFormat="1" ht="5.0999999999999996" customHeight="1" x14ac:dyDescent="0.3">
      <c r="A48" s="6"/>
      <c r="B48" s="2"/>
      <c r="D48" s="54"/>
    </row>
    <row r="49" spans="1:6" s="22" customFormat="1" x14ac:dyDescent="0.3">
      <c r="A49" s="6"/>
      <c r="B49" s="21"/>
      <c r="C49" s="21"/>
      <c r="D49" s="55" t="s">
        <v>129</v>
      </c>
      <c r="F49" s="101">
        <f>AVERAGE(F45:X45)</f>
        <v>0.54610049861648902</v>
      </c>
    </row>
    <row r="50" spans="1:6" s="4" customFormat="1" ht="5.0999999999999996" customHeight="1" x14ac:dyDescent="0.3">
      <c r="A50" s="6"/>
      <c r="B50" s="2"/>
      <c r="D50" s="54"/>
    </row>
    <row r="52" spans="1:6" s="4" customFormat="1" ht="5.0999999999999996" customHeight="1" x14ac:dyDescent="0.3">
      <c r="A52" s="6"/>
      <c r="B52" s="2"/>
      <c r="D52" s="54"/>
    </row>
  </sheetData>
  <mergeCells count="2">
    <mergeCell ref="B9:D9"/>
    <mergeCell ref="B29:D29"/>
  </mergeCells>
  <pageMargins left="0.70866141732283505" right="0.70866141732283505" top="0.74803149606299202" bottom="0.74803149606299202" header="0.31496062992126" footer="0.31496062992126"/>
  <pageSetup paperSize="9" scale="72" fitToHeight="0" orientation="landscape" errors="blank" r:id="rId1"/>
  <headerFooter>
    <oddFooter>&amp;C&amp;"Ubuntu,Regular"&amp;K346D9CPage &amp;P of &amp;N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4F13-3EAB-4EAC-990C-AB0549AE1367}">
  <sheetPr>
    <tabColor rgb="FF00B050"/>
    <pageSetUpPr fitToPage="1"/>
  </sheetPr>
  <dimension ref="A1:P56"/>
  <sheetViews>
    <sheetView showGridLines="0" zoomScale="91" zoomScaleNormal="91" zoomScaleSheetLayoutView="100" workbookViewId="0">
      <selection activeCell="E1" sqref="E1"/>
    </sheetView>
  </sheetViews>
  <sheetFormatPr defaultColWidth="8.77734375" defaultRowHeight="14.4" customHeight="1" x14ac:dyDescent="0.3"/>
  <cols>
    <col min="1" max="1" width="3.44140625" style="6" customWidth="1"/>
    <col min="2" max="2" width="6.5546875" style="3" bestFit="1" customWidth="1"/>
    <col min="3" max="3" width="0.77734375" style="3" customWidth="1"/>
    <col min="4" max="4" width="42.21875" style="3" customWidth="1"/>
    <col min="5" max="5" width="13.109375" style="3" bestFit="1" customWidth="1"/>
    <col min="6" max="9" width="12.5546875" style="3" bestFit="1" customWidth="1"/>
    <col min="10" max="14" width="10.77734375" style="3" customWidth="1"/>
    <col min="15" max="15" width="14.44140625" style="3" bestFit="1" customWidth="1"/>
    <col min="16" max="16" width="11.21875" style="3" bestFit="1" customWidth="1"/>
    <col min="17" max="16384" width="8.77734375" style="3"/>
  </cols>
  <sheetData>
    <row r="1" spans="1:16" s="4" customFormat="1" ht="14.4" customHeight="1" x14ac:dyDescent="0.3">
      <c r="A1" s="1"/>
      <c r="G1" s="24"/>
      <c r="H1" s="24"/>
      <c r="I1" s="24"/>
      <c r="J1" s="24"/>
      <c r="K1" s="24"/>
      <c r="L1" s="24"/>
      <c r="M1" s="24"/>
      <c r="N1" s="24"/>
      <c r="O1" s="24"/>
      <c r="P1" s="3"/>
    </row>
    <row r="2" spans="1:16" s="4" customFormat="1" ht="14.4" customHeight="1" x14ac:dyDescent="0.3">
      <c r="A2" s="1"/>
      <c r="G2" s="24"/>
      <c r="H2" s="24"/>
      <c r="I2" s="24"/>
      <c r="J2" s="24"/>
      <c r="K2" s="24"/>
      <c r="L2" s="24"/>
      <c r="M2" s="24"/>
      <c r="N2" s="24"/>
      <c r="O2" s="24"/>
      <c r="P2" s="3"/>
    </row>
    <row r="3" spans="1:16" s="4" customFormat="1" ht="14.4" customHeight="1" x14ac:dyDescent="0.3">
      <c r="A3" s="1"/>
      <c r="C3" s="29"/>
      <c r="D3" s="373" t="s">
        <v>133</v>
      </c>
      <c r="E3" s="29"/>
      <c r="F3" s="9"/>
      <c r="G3" s="10"/>
      <c r="H3" s="24"/>
      <c r="I3" s="24"/>
      <c r="J3" s="24"/>
      <c r="K3" s="24"/>
      <c r="L3" s="24"/>
      <c r="M3" s="24"/>
      <c r="N3" s="24"/>
      <c r="O3" s="24"/>
      <c r="P3" s="3"/>
    </row>
    <row r="4" spans="1:16" s="4" customFormat="1" ht="14.4" customHeight="1" x14ac:dyDescent="0.3">
      <c r="A4" s="1"/>
      <c r="G4" s="24"/>
      <c r="H4" s="24"/>
      <c r="I4" s="24"/>
      <c r="J4" s="24"/>
      <c r="K4" s="24"/>
      <c r="L4" s="24"/>
      <c r="M4" s="24"/>
      <c r="N4" s="24"/>
      <c r="O4" s="24"/>
      <c r="P4" s="3"/>
    </row>
    <row r="6" spans="1:16" ht="14.4" customHeight="1" x14ac:dyDescent="0.3">
      <c r="B6" s="12" t="s">
        <v>1</v>
      </c>
      <c r="C6" s="4"/>
      <c r="D6" s="32" t="s">
        <v>98</v>
      </c>
      <c r="E6" s="14" t="str">
        <f>'P&amp;L'!F5</f>
        <v>2025-26</v>
      </c>
      <c r="F6" s="14" t="str">
        <f>'P&amp;L'!G5</f>
        <v>2026-27</v>
      </c>
      <c r="G6" s="14" t="str">
        <f>'P&amp;L'!H5</f>
        <v>2027-28</v>
      </c>
      <c r="H6" s="14" t="str">
        <f>'P&amp;L'!I5</f>
        <v>2028-29</v>
      </c>
      <c r="I6" s="14" t="str">
        <f>'P&amp;L'!J5</f>
        <v>2029-30</v>
      </c>
      <c r="J6" s="14" t="str">
        <f>'P&amp;L'!K5</f>
        <v>2030-31</v>
      </c>
      <c r="K6" s="14" t="str">
        <f>'P&amp;L'!L5</f>
        <v>2031-32</v>
      </c>
      <c r="L6" s="14" t="str">
        <f>'P&amp;L'!M5</f>
        <v>2032-33</v>
      </c>
      <c r="M6" s="14" t="str">
        <f>'P&amp;L'!N5</f>
        <v>2033-34</v>
      </c>
      <c r="N6" s="14" t="str">
        <f>'P&amp;L'!O5</f>
        <v>2034-35</v>
      </c>
    </row>
    <row r="7" spans="1:16" ht="14.4" customHeight="1" x14ac:dyDescent="0.3">
      <c r="B7" s="21">
        <v>1</v>
      </c>
      <c r="C7" s="48"/>
      <c r="D7" s="34" t="s">
        <v>422</v>
      </c>
      <c r="E7" s="50">
        <f>'P&amp;L'!F9</f>
        <v>135</v>
      </c>
      <c r="F7" s="50">
        <f>'P&amp;L'!G9</f>
        <v>162</v>
      </c>
      <c r="G7" s="50">
        <f>'P&amp;L'!H9</f>
        <v>202.5</v>
      </c>
      <c r="H7" s="50">
        <f>'P&amp;L'!I9</f>
        <v>253.125</v>
      </c>
      <c r="I7" s="50">
        <f>'P&amp;L'!J9</f>
        <v>316.40625</v>
      </c>
      <c r="J7" s="50">
        <f>'P&amp;L'!K9</f>
        <v>395.5078125</v>
      </c>
      <c r="K7" s="50">
        <f>'P&amp;L'!L9</f>
        <v>494.384765625</v>
      </c>
      <c r="L7" s="50">
        <f>'P&amp;L'!M9</f>
        <v>617.98095703125</v>
      </c>
      <c r="M7" s="50">
        <f>'P&amp;L'!N9</f>
        <v>772.4761962890625</v>
      </c>
      <c r="N7" s="50">
        <f>'P&amp;L'!O9</f>
        <v>965.59524536132813</v>
      </c>
    </row>
    <row r="8" spans="1:16" ht="14.4" customHeight="1" x14ac:dyDescent="0.3">
      <c r="B8" s="21">
        <v>2</v>
      </c>
      <c r="C8" s="48"/>
      <c r="D8" s="34" t="s">
        <v>423</v>
      </c>
      <c r="E8" s="50">
        <f>'P&amp;L'!F11</f>
        <v>270</v>
      </c>
      <c r="F8" s="50">
        <f>'P&amp;L'!G11</f>
        <v>792.00000000000011</v>
      </c>
      <c r="G8" s="50">
        <f>'P&amp;L'!H11</f>
        <v>1633.5000000000002</v>
      </c>
      <c r="H8" s="50">
        <f>'P&amp;L'!I11</f>
        <v>2874.9600000000009</v>
      </c>
      <c r="I8" s="50">
        <f>'P&amp;L'!J11</f>
        <v>4348.3770000000022</v>
      </c>
      <c r="J8" s="50">
        <f>'P&amp;L'!K11</f>
        <v>5811.0129000000034</v>
      </c>
      <c r="K8" s="50">
        <f>'P&amp;L'!L11</f>
        <v>7409.0414475000052</v>
      </c>
      <c r="L8" s="50">
        <f>'P&amp;L'!M11</f>
        <v>9304.8844061250074</v>
      </c>
      <c r="M8" s="50">
        <f>'P&amp;L'!N11</f>
        <v>11371.789056993759</v>
      </c>
      <c r="N8" s="50">
        <f>'P&amp;L'!O11</f>
        <v>13622.121961934074</v>
      </c>
    </row>
    <row r="9" spans="1:16" ht="14.4" customHeight="1" x14ac:dyDescent="0.3">
      <c r="B9" s="21">
        <v>3</v>
      </c>
      <c r="C9" s="48"/>
      <c r="D9" s="34" t="s">
        <v>6</v>
      </c>
      <c r="E9" s="50">
        <f>'P&amp;L'!F13</f>
        <v>75</v>
      </c>
      <c r="F9" s="50">
        <f>'P&amp;L'!G13</f>
        <v>600</v>
      </c>
      <c r="G9" s="50">
        <f>'P&amp;L'!H13</f>
        <v>1200</v>
      </c>
      <c r="H9" s="50">
        <f>'P&amp;L'!I13</f>
        <v>1800</v>
      </c>
      <c r="I9" s="50">
        <f>'P&amp;L'!J13</f>
        <v>2700</v>
      </c>
      <c r="J9" s="50">
        <f>'P&amp;L'!K13</f>
        <v>3375</v>
      </c>
      <c r="K9" s="50">
        <f>'P&amp;L'!L13</f>
        <v>4218.75</v>
      </c>
      <c r="L9" s="50">
        <f>'P&amp;L'!M13</f>
        <v>5273.4375</v>
      </c>
      <c r="M9" s="50">
        <f>'P&amp;L'!N13</f>
        <v>6591.796875</v>
      </c>
      <c r="N9" s="50">
        <f>'P&amp;L'!O13</f>
        <v>8239.74609375</v>
      </c>
    </row>
    <row r="10" spans="1:16" ht="14.4" customHeight="1" x14ac:dyDescent="0.3">
      <c r="B10" s="21">
        <v>4</v>
      </c>
      <c r="C10" s="48"/>
      <c r="D10" s="34" t="s">
        <v>424</v>
      </c>
      <c r="E10" s="50">
        <f>'P&amp;L'!F15</f>
        <v>150</v>
      </c>
      <c r="F10" s="50">
        <f>'P&amp;L'!G15</f>
        <v>600</v>
      </c>
      <c r="G10" s="50">
        <f>'P&amp;L'!H15</f>
        <v>780</v>
      </c>
      <c r="H10" s="50">
        <f>'P&amp;L'!I15</f>
        <v>1014</v>
      </c>
      <c r="I10" s="50">
        <f>'P&amp;L'!J15</f>
        <v>1318.2</v>
      </c>
      <c r="J10" s="50">
        <f>'P&amp;L'!K15</f>
        <v>1713.66</v>
      </c>
      <c r="K10" s="50">
        <f>'P&amp;L'!L15</f>
        <v>2227.7579999999998</v>
      </c>
      <c r="L10" s="50">
        <f>'P&amp;L'!M15</f>
        <v>2896.0853999999999</v>
      </c>
      <c r="M10" s="50">
        <f>'P&amp;L'!N15</f>
        <v>3764.91102</v>
      </c>
      <c r="N10" s="50">
        <f>'P&amp;L'!O15</f>
        <v>4894.3843260000003</v>
      </c>
    </row>
    <row r="11" spans="1:16" s="4" customFormat="1" ht="14.4" customHeight="1" x14ac:dyDescent="0.3">
      <c r="A11" s="6"/>
      <c r="B11" s="95"/>
      <c r="C11" s="9"/>
      <c r="D11" s="29"/>
      <c r="E11" s="29"/>
      <c r="F11" s="29"/>
      <c r="G11" s="10"/>
      <c r="H11" s="10"/>
      <c r="I11" s="31"/>
      <c r="J11" s="31"/>
      <c r="K11" s="31"/>
      <c r="L11" s="31"/>
      <c r="M11" s="31"/>
      <c r="N11" s="31"/>
      <c r="O11" s="24"/>
    </row>
    <row r="12" spans="1:16" s="4" customFormat="1" ht="14.4" customHeight="1" x14ac:dyDescent="0.3">
      <c r="A12" s="6"/>
      <c r="B12" s="12" t="s">
        <v>1</v>
      </c>
      <c r="D12" s="32" t="s">
        <v>425</v>
      </c>
      <c r="E12" s="14" t="str">
        <f>E6</f>
        <v>2025-26</v>
      </c>
      <c r="F12" s="14" t="str">
        <f t="shared" ref="F12:N12" si="0">F6</f>
        <v>2026-27</v>
      </c>
      <c r="G12" s="14" t="str">
        <f t="shared" si="0"/>
        <v>2027-28</v>
      </c>
      <c r="H12" s="14" t="str">
        <f t="shared" si="0"/>
        <v>2028-29</v>
      </c>
      <c r="I12" s="14" t="str">
        <f t="shared" si="0"/>
        <v>2029-30</v>
      </c>
      <c r="J12" s="14" t="str">
        <f t="shared" si="0"/>
        <v>2030-31</v>
      </c>
      <c r="K12" s="14" t="str">
        <f t="shared" si="0"/>
        <v>2031-32</v>
      </c>
      <c r="L12" s="14" t="str">
        <f t="shared" si="0"/>
        <v>2032-33</v>
      </c>
      <c r="M12" s="14" t="str">
        <f t="shared" si="0"/>
        <v>2033-34</v>
      </c>
      <c r="N12" s="14" t="str">
        <f t="shared" si="0"/>
        <v>2034-35</v>
      </c>
      <c r="O12" s="24"/>
    </row>
    <row r="13" spans="1:16" s="4" customFormat="1" ht="14.4" customHeight="1" x14ac:dyDescent="0.3">
      <c r="A13" s="6"/>
      <c r="B13" s="21">
        <v>1</v>
      </c>
      <c r="C13" s="48"/>
      <c r="D13" s="374" t="s">
        <v>422</v>
      </c>
      <c r="E13" s="375">
        <v>30</v>
      </c>
      <c r="F13" s="375">
        <v>30</v>
      </c>
      <c r="G13" s="375">
        <v>30</v>
      </c>
      <c r="H13" s="375">
        <v>30</v>
      </c>
      <c r="I13" s="375">
        <v>30</v>
      </c>
      <c r="J13" s="375">
        <v>30</v>
      </c>
      <c r="K13" s="375">
        <v>30</v>
      </c>
      <c r="L13" s="375">
        <v>30</v>
      </c>
      <c r="M13" s="375">
        <v>30</v>
      </c>
      <c r="N13" s="375">
        <v>30</v>
      </c>
      <c r="O13" s="24"/>
    </row>
    <row r="14" spans="1:16" s="4" customFormat="1" ht="14.4" customHeight="1" x14ac:dyDescent="0.3">
      <c r="A14" s="6"/>
      <c r="B14" s="21">
        <v>2</v>
      </c>
      <c r="C14" s="48"/>
      <c r="D14" s="374" t="s">
        <v>423</v>
      </c>
      <c r="E14" s="375">
        <v>30</v>
      </c>
      <c r="F14" s="375">
        <v>30</v>
      </c>
      <c r="G14" s="375">
        <v>30</v>
      </c>
      <c r="H14" s="375">
        <v>30</v>
      </c>
      <c r="I14" s="375">
        <v>30</v>
      </c>
      <c r="J14" s="375">
        <v>30</v>
      </c>
      <c r="K14" s="375">
        <v>30</v>
      </c>
      <c r="L14" s="375">
        <v>30</v>
      </c>
      <c r="M14" s="375">
        <v>30</v>
      </c>
      <c r="N14" s="375">
        <v>30</v>
      </c>
      <c r="O14" s="24"/>
    </row>
    <row r="15" spans="1:16" s="4" customFormat="1" ht="14.4" customHeight="1" x14ac:dyDescent="0.3">
      <c r="A15" s="6"/>
      <c r="B15" s="21">
        <v>3</v>
      </c>
      <c r="C15" s="48"/>
      <c r="D15" s="374" t="s">
        <v>6</v>
      </c>
      <c r="E15" s="375">
        <v>30</v>
      </c>
      <c r="F15" s="375">
        <v>30</v>
      </c>
      <c r="G15" s="375">
        <v>30</v>
      </c>
      <c r="H15" s="375">
        <v>30</v>
      </c>
      <c r="I15" s="375">
        <v>30</v>
      </c>
      <c r="J15" s="375">
        <v>30</v>
      </c>
      <c r="K15" s="375">
        <v>30</v>
      </c>
      <c r="L15" s="375">
        <v>30</v>
      </c>
      <c r="M15" s="375">
        <v>30</v>
      </c>
      <c r="N15" s="375">
        <v>30</v>
      </c>
      <c r="O15" s="24"/>
    </row>
    <row r="16" spans="1:16" s="4" customFormat="1" ht="14.4" customHeight="1" x14ac:dyDescent="0.3">
      <c r="A16" s="6"/>
      <c r="B16" s="21">
        <v>4</v>
      </c>
      <c r="C16" s="48"/>
      <c r="D16" s="374" t="s">
        <v>424</v>
      </c>
      <c r="E16" s="375">
        <v>30</v>
      </c>
      <c r="F16" s="375">
        <v>30</v>
      </c>
      <c r="G16" s="375">
        <v>30</v>
      </c>
      <c r="H16" s="375">
        <v>30</v>
      </c>
      <c r="I16" s="375">
        <v>30</v>
      </c>
      <c r="J16" s="375">
        <v>30</v>
      </c>
      <c r="K16" s="375">
        <v>30</v>
      </c>
      <c r="L16" s="375">
        <v>30</v>
      </c>
      <c r="M16" s="375">
        <v>30</v>
      </c>
      <c r="N16" s="375">
        <v>30</v>
      </c>
      <c r="O16" s="24"/>
    </row>
    <row r="17" spans="1:16" s="4" customFormat="1" ht="14.4" customHeight="1" x14ac:dyDescent="0.3">
      <c r="A17" s="6"/>
      <c r="B17" s="2"/>
      <c r="G17" s="24"/>
      <c r="H17" s="24"/>
      <c r="I17" s="24"/>
      <c r="J17" s="24"/>
      <c r="K17" s="24"/>
      <c r="L17" s="24"/>
      <c r="M17" s="24"/>
      <c r="N17" s="24"/>
      <c r="O17" s="24"/>
    </row>
    <row r="18" spans="1:16" s="4" customFormat="1" ht="14.4" customHeight="1" x14ac:dyDescent="0.3">
      <c r="A18" s="6"/>
      <c r="B18" s="12" t="s">
        <v>1</v>
      </c>
      <c r="D18" s="32" t="s">
        <v>33</v>
      </c>
      <c r="E18" s="14" t="str">
        <f t="shared" ref="E18:N18" si="1">E6</f>
        <v>2025-26</v>
      </c>
      <c r="F18" s="14" t="str">
        <f t="shared" si="1"/>
        <v>2026-27</v>
      </c>
      <c r="G18" s="14" t="str">
        <f t="shared" si="1"/>
        <v>2027-28</v>
      </c>
      <c r="H18" s="14" t="str">
        <f t="shared" si="1"/>
        <v>2028-29</v>
      </c>
      <c r="I18" s="14" t="str">
        <f t="shared" si="1"/>
        <v>2029-30</v>
      </c>
      <c r="J18" s="14" t="str">
        <f t="shared" si="1"/>
        <v>2030-31</v>
      </c>
      <c r="K18" s="14" t="str">
        <f t="shared" si="1"/>
        <v>2031-32</v>
      </c>
      <c r="L18" s="14" t="str">
        <f t="shared" si="1"/>
        <v>2032-33</v>
      </c>
      <c r="M18" s="14" t="str">
        <f t="shared" si="1"/>
        <v>2033-34</v>
      </c>
      <c r="N18" s="14" t="str">
        <f t="shared" si="1"/>
        <v>2034-35</v>
      </c>
    </row>
    <row r="19" spans="1:16" s="49" customFormat="1" ht="14.4" customHeight="1" x14ac:dyDescent="0.3">
      <c r="A19" s="6"/>
      <c r="B19" s="21">
        <v>1</v>
      </c>
      <c r="C19" s="48"/>
      <c r="D19" s="34" t="str">
        <f>'PAG-2'!D9</f>
        <v>Corporate Sales</v>
      </c>
      <c r="E19" s="50">
        <f>E7*E13/365</f>
        <v>11.095890410958905</v>
      </c>
      <c r="F19" s="50">
        <f t="shared" ref="F19:N19" si="2">F7*F13/365</f>
        <v>13.315068493150685</v>
      </c>
      <c r="G19" s="50">
        <f t="shared" si="2"/>
        <v>16.643835616438356</v>
      </c>
      <c r="H19" s="50">
        <f t="shared" si="2"/>
        <v>20.804794520547944</v>
      </c>
      <c r="I19" s="50">
        <f t="shared" si="2"/>
        <v>26.005993150684933</v>
      </c>
      <c r="J19" s="50">
        <f t="shared" si="2"/>
        <v>32.507491438356162</v>
      </c>
      <c r="K19" s="50">
        <f t="shared" si="2"/>
        <v>40.634364297945204</v>
      </c>
      <c r="L19" s="50">
        <f t="shared" si="2"/>
        <v>50.792955372431507</v>
      </c>
      <c r="M19" s="50">
        <f t="shared" si="2"/>
        <v>63.49119421553938</v>
      </c>
      <c r="N19" s="50">
        <f t="shared" si="2"/>
        <v>79.363992769424229</v>
      </c>
      <c r="O19" s="51"/>
      <c r="P19" s="3"/>
    </row>
    <row r="20" spans="1:16" ht="14.4" customHeight="1" x14ac:dyDescent="0.3">
      <c r="B20" s="21">
        <f>B19+1</f>
        <v>2</v>
      </c>
      <c r="C20" s="48"/>
      <c r="D20" s="34" t="str">
        <f>'PAG-2'!D11</f>
        <v>Millet Cafeteria</v>
      </c>
      <c r="E20" s="50">
        <f t="shared" ref="E20:N22" si="3">E8*E14/365</f>
        <v>22.19178082191781</v>
      </c>
      <c r="F20" s="50">
        <f t="shared" si="3"/>
        <v>65.095890410958916</v>
      </c>
      <c r="G20" s="50">
        <f t="shared" si="3"/>
        <v>134.26027397260276</v>
      </c>
      <c r="H20" s="50">
        <f t="shared" si="3"/>
        <v>236.29808219178091</v>
      </c>
      <c r="I20" s="50">
        <f t="shared" si="3"/>
        <v>357.40084931506868</v>
      </c>
      <c r="J20" s="50">
        <f t="shared" si="3"/>
        <v>477.61749863013728</v>
      </c>
      <c r="K20" s="50">
        <f t="shared" si="3"/>
        <v>608.96231075342507</v>
      </c>
      <c r="L20" s="50">
        <f t="shared" si="3"/>
        <v>764.78501968150749</v>
      </c>
      <c r="M20" s="50">
        <f t="shared" si="3"/>
        <v>934.66759372551439</v>
      </c>
      <c r="N20" s="50">
        <f t="shared" si="3"/>
        <v>1119.6264626247182</v>
      </c>
    </row>
    <row r="21" spans="1:16" s="49" customFormat="1" ht="14.4" customHeight="1" x14ac:dyDescent="0.3">
      <c r="A21" s="6"/>
      <c r="B21" s="21">
        <f>B20+1</f>
        <v>3</v>
      </c>
      <c r="C21" s="48"/>
      <c r="D21" s="34" t="str">
        <f>'PAG-2'!D13</f>
        <v>Retail Market Sales</v>
      </c>
      <c r="E21" s="50">
        <f t="shared" si="3"/>
        <v>6.1643835616438354</v>
      </c>
      <c r="F21" s="50">
        <f t="shared" si="3"/>
        <v>49.315068493150683</v>
      </c>
      <c r="G21" s="50">
        <f t="shared" si="3"/>
        <v>98.630136986301366</v>
      </c>
      <c r="H21" s="50">
        <f t="shared" si="3"/>
        <v>147.94520547945206</v>
      </c>
      <c r="I21" s="50">
        <f t="shared" si="3"/>
        <v>221.91780821917808</v>
      </c>
      <c r="J21" s="50">
        <f t="shared" si="3"/>
        <v>277.39726027397262</v>
      </c>
      <c r="K21" s="50">
        <f t="shared" si="3"/>
        <v>346.74657534246575</v>
      </c>
      <c r="L21" s="50">
        <f t="shared" si="3"/>
        <v>433.4332191780822</v>
      </c>
      <c r="M21" s="50">
        <f t="shared" si="3"/>
        <v>541.7915239726027</v>
      </c>
      <c r="N21" s="50">
        <f t="shared" si="3"/>
        <v>677.23940496575347</v>
      </c>
      <c r="O21" s="51"/>
      <c r="P21" s="3"/>
    </row>
    <row r="22" spans="1:16" s="4" customFormat="1" ht="14.4" customHeight="1" x14ac:dyDescent="0.3">
      <c r="A22" s="6"/>
      <c r="B22" s="21">
        <f>B21+1</f>
        <v>4</v>
      </c>
      <c r="C22" s="48"/>
      <c r="D22" s="34" t="str">
        <f>'PAG-2'!D15</f>
        <v>Export Sales</v>
      </c>
      <c r="E22" s="50">
        <f t="shared" si="3"/>
        <v>12.328767123287671</v>
      </c>
      <c r="F22" s="50">
        <f t="shared" si="3"/>
        <v>49.315068493150683</v>
      </c>
      <c r="G22" s="50">
        <f t="shared" si="3"/>
        <v>64.109589041095887</v>
      </c>
      <c r="H22" s="50">
        <f t="shared" si="3"/>
        <v>83.342465753424662</v>
      </c>
      <c r="I22" s="50">
        <f t="shared" si="3"/>
        <v>108.34520547945205</v>
      </c>
      <c r="J22" s="50">
        <f t="shared" si="3"/>
        <v>140.84876712328767</v>
      </c>
      <c r="K22" s="50">
        <f t="shared" si="3"/>
        <v>183.10339726027394</v>
      </c>
      <c r="L22" s="50">
        <f t="shared" si="3"/>
        <v>238.03441643835617</v>
      </c>
      <c r="M22" s="50">
        <f t="shared" si="3"/>
        <v>309.44474136986304</v>
      </c>
      <c r="N22" s="50">
        <f t="shared" si="3"/>
        <v>402.27816378082196</v>
      </c>
      <c r="O22" s="24"/>
      <c r="P22" s="3"/>
    </row>
    <row r="23" spans="1:16" ht="14.4" customHeight="1" x14ac:dyDescent="0.3">
      <c r="A23" s="3"/>
    </row>
    <row r="24" spans="1:16" ht="14.4" customHeight="1" x14ac:dyDescent="0.3">
      <c r="B24" s="459" t="s">
        <v>33</v>
      </c>
      <c r="C24" s="459"/>
      <c r="D24" s="459"/>
      <c r="E24" s="50">
        <f t="shared" ref="E24:N24" si="4">E19+E20+E21+E22</f>
        <v>51.780821917808225</v>
      </c>
      <c r="F24" s="50">
        <f t="shared" si="4"/>
        <v>177.04109589041096</v>
      </c>
      <c r="G24" s="50">
        <f t="shared" si="4"/>
        <v>313.64383561643837</v>
      </c>
      <c r="H24" s="50">
        <f t="shared" si="4"/>
        <v>488.39054794520558</v>
      </c>
      <c r="I24" s="50">
        <f t="shared" si="4"/>
        <v>713.66985616438376</v>
      </c>
      <c r="J24" s="50">
        <f t="shared" si="4"/>
        <v>928.37101746575377</v>
      </c>
      <c r="K24" s="50">
        <f t="shared" si="4"/>
        <v>1179.4466476541102</v>
      </c>
      <c r="L24" s="50">
        <f t="shared" si="4"/>
        <v>1487.0456106703773</v>
      </c>
      <c r="M24" s="50">
        <f t="shared" si="4"/>
        <v>1849.3950532835197</v>
      </c>
      <c r="N24" s="50">
        <f t="shared" si="4"/>
        <v>2278.5080241407177</v>
      </c>
    </row>
    <row r="25" spans="1:16" ht="14.4" customHeight="1" x14ac:dyDescent="0.3">
      <c r="N25" s="102"/>
    </row>
    <row r="26" spans="1:16" ht="14.4" customHeight="1" x14ac:dyDescent="0.3">
      <c r="B26" s="4"/>
      <c r="C26" s="29"/>
      <c r="D26" s="373" t="s">
        <v>489</v>
      </c>
      <c r="E26" s="29"/>
      <c r="F26" s="9"/>
      <c r="G26" s="10"/>
      <c r="H26" s="24"/>
      <c r="I26" s="24"/>
      <c r="J26" s="24"/>
      <c r="K26" s="24"/>
      <c r="L26" s="24"/>
      <c r="M26" s="24"/>
      <c r="N26" s="24"/>
    </row>
    <row r="27" spans="1:16" ht="14.4" customHeight="1" x14ac:dyDescent="0.3">
      <c r="B27" s="4"/>
      <c r="C27" s="4"/>
      <c r="D27" s="4"/>
      <c r="E27" s="4"/>
      <c r="F27" s="4"/>
      <c r="G27" s="24"/>
      <c r="H27" s="24"/>
      <c r="I27" s="24"/>
      <c r="J27" s="24"/>
      <c r="K27" s="24"/>
      <c r="L27" s="24"/>
      <c r="M27" s="24"/>
      <c r="N27" s="24"/>
    </row>
    <row r="29" spans="1:16" ht="14.4" customHeight="1" x14ac:dyDescent="0.3">
      <c r="B29" s="12" t="s">
        <v>1</v>
      </c>
      <c r="C29" s="4"/>
      <c r="D29" s="32" t="s">
        <v>266</v>
      </c>
      <c r="E29" s="14" t="str">
        <f>E18</f>
        <v>2025-26</v>
      </c>
      <c r="F29" s="14" t="str">
        <f t="shared" ref="F29:N29" si="5">F18</f>
        <v>2026-27</v>
      </c>
      <c r="G29" s="14" t="str">
        <f t="shared" si="5"/>
        <v>2027-28</v>
      </c>
      <c r="H29" s="14" t="str">
        <f t="shared" si="5"/>
        <v>2028-29</v>
      </c>
      <c r="I29" s="14" t="str">
        <f t="shared" si="5"/>
        <v>2029-30</v>
      </c>
      <c r="J29" s="14" t="str">
        <f t="shared" si="5"/>
        <v>2030-31</v>
      </c>
      <c r="K29" s="14" t="str">
        <f t="shared" si="5"/>
        <v>2031-32</v>
      </c>
      <c r="L29" s="14" t="str">
        <f t="shared" si="5"/>
        <v>2032-33</v>
      </c>
      <c r="M29" s="14" t="str">
        <f t="shared" si="5"/>
        <v>2033-34</v>
      </c>
      <c r="N29" s="14" t="str">
        <f t="shared" si="5"/>
        <v>2034-35</v>
      </c>
    </row>
    <row r="30" spans="1:16" ht="14.4" customHeight="1" x14ac:dyDescent="0.3">
      <c r="B30" s="21">
        <v>1</v>
      </c>
      <c r="C30" s="48"/>
      <c r="D30" s="34" t="s">
        <v>490</v>
      </c>
      <c r="E30" s="50">
        <f>'P&amp;L'!F17</f>
        <v>272.39999999999998</v>
      </c>
      <c r="F30" s="50">
        <f>'P&amp;L'!G17</f>
        <v>1088.94</v>
      </c>
      <c r="G30" s="50">
        <f>'P&amp;L'!H17</f>
        <v>1818.6450000000002</v>
      </c>
      <c r="H30" s="50">
        <f>'P&amp;L'!I17</f>
        <v>2682.0049500000005</v>
      </c>
      <c r="I30" s="50">
        <f>'P&amp;L'!J17</f>
        <v>3850.5811275000005</v>
      </c>
      <c r="J30" s="50">
        <f>'P&amp;L'!K17</f>
        <v>4947.2553723750007</v>
      </c>
      <c r="K30" s="50">
        <f>'P&amp;L'!L17</f>
        <v>6282.8625264187513</v>
      </c>
      <c r="L30" s="50">
        <f>'P&amp;L'!M17</f>
        <v>7950.0488913084391</v>
      </c>
      <c r="M30" s="50">
        <f>'P&amp;L'!N17</f>
        <v>9993.4588255897979</v>
      </c>
      <c r="N30" s="50">
        <f>'P&amp;L'!O17</f>
        <v>12508.27990271946</v>
      </c>
    </row>
    <row r="31" spans="1:16" ht="14.4" customHeight="1" x14ac:dyDescent="0.3">
      <c r="B31" s="95"/>
      <c r="C31" s="9"/>
      <c r="D31" s="29"/>
      <c r="E31" s="29"/>
      <c r="F31" s="29"/>
      <c r="G31" s="10"/>
      <c r="H31" s="10"/>
      <c r="I31" s="31"/>
      <c r="J31" s="31"/>
      <c r="K31" s="31"/>
      <c r="L31" s="31"/>
      <c r="M31" s="31"/>
      <c r="N31" s="31"/>
    </row>
    <row r="32" spans="1:16" ht="14.4" customHeight="1" x14ac:dyDescent="0.3">
      <c r="B32" s="12" t="s">
        <v>1</v>
      </c>
      <c r="C32" s="4"/>
      <c r="D32" s="32" t="s">
        <v>492</v>
      </c>
      <c r="E32" s="14" t="str">
        <f t="shared" ref="E32:N32" si="6">E29</f>
        <v>2025-26</v>
      </c>
      <c r="F32" s="14" t="str">
        <f t="shared" si="6"/>
        <v>2026-27</v>
      </c>
      <c r="G32" s="14" t="str">
        <f t="shared" si="6"/>
        <v>2027-28</v>
      </c>
      <c r="H32" s="14" t="str">
        <f t="shared" si="6"/>
        <v>2028-29</v>
      </c>
      <c r="I32" s="14" t="str">
        <f t="shared" si="6"/>
        <v>2029-30</v>
      </c>
      <c r="J32" s="14" t="str">
        <f t="shared" si="6"/>
        <v>2030-31</v>
      </c>
      <c r="K32" s="14" t="str">
        <f t="shared" si="6"/>
        <v>2031-32</v>
      </c>
      <c r="L32" s="14" t="str">
        <f t="shared" si="6"/>
        <v>2032-33</v>
      </c>
      <c r="M32" s="14" t="str">
        <f t="shared" si="6"/>
        <v>2033-34</v>
      </c>
      <c r="N32" s="14" t="str">
        <f t="shared" si="6"/>
        <v>2034-35</v>
      </c>
    </row>
    <row r="33" spans="2:14" ht="14.4" customHeight="1" x14ac:dyDescent="0.3">
      <c r="B33" s="21">
        <v>1</v>
      </c>
      <c r="C33" s="48"/>
      <c r="D33" s="374" t="s">
        <v>21</v>
      </c>
      <c r="E33" s="375">
        <v>10</v>
      </c>
      <c r="F33" s="375">
        <v>10</v>
      </c>
      <c r="G33" s="375">
        <v>10</v>
      </c>
      <c r="H33" s="375">
        <v>10</v>
      </c>
      <c r="I33" s="375">
        <v>10</v>
      </c>
      <c r="J33" s="375">
        <v>10</v>
      </c>
      <c r="K33" s="375">
        <v>10</v>
      </c>
      <c r="L33" s="375">
        <v>10</v>
      </c>
      <c r="M33" s="375">
        <v>10</v>
      </c>
      <c r="N33" s="375">
        <v>10</v>
      </c>
    </row>
    <row r="34" spans="2:14" ht="14.4" customHeight="1" x14ac:dyDescent="0.3">
      <c r="B34" s="2"/>
      <c r="C34" s="4"/>
      <c r="D34" s="4"/>
      <c r="E34" s="4"/>
      <c r="F34" s="4"/>
      <c r="G34" s="24"/>
      <c r="H34" s="24"/>
      <c r="I34" s="24"/>
      <c r="J34" s="24"/>
      <c r="K34" s="24"/>
      <c r="L34" s="24"/>
      <c r="M34" s="24"/>
      <c r="N34" s="24"/>
    </row>
    <row r="35" spans="2:14" ht="14.4" customHeight="1" x14ac:dyDescent="0.3">
      <c r="B35" s="12" t="s">
        <v>1</v>
      </c>
      <c r="C35" s="4"/>
      <c r="D35" s="32" t="s">
        <v>20</v>
      </c>
      <c r="E35" s="14" t="str">
        <f t="shared" ref="E35:N35" si="7">E29</f>
        <v>2025-26</v>
      </c>
      <c r="F35" s="14" t="str">
        <f t="shared" si="7"/>
        <v>2026-27</v>
      </c>
      <c r="G35" s="14" t="str">
        <f t="shared" si="7"/>
        <v>2027-28</v>
      </c>
      <c r="H35" s="14" t="str">
        <f t="shared" si="7"/>
        <v>2028-29</v>
      </c>
      <c r="I35" s="14" t="str">
        <f t="shared" si="7"/>
        <v>2029-30</v>
      </c>
      <c r="J35" s="14" t="str">
        <f t="shared" si="7"/>
        <v>2030-31</v>
      </c>
      <c r="K35" s="14" t="str">
        <f t="shared" si="7"/>
        <v>2031-32</v>
      </c>
      <c r="L35" s="14" t="str">
        <f t="shared" si="7"/>
        <v>2032-33</v>
      </c>
      <c r="M35" s="14" t="str">
        <f t="shared" si="7"/>
        <v>2033-34</v>
      </c>
      <c r="N35" s="14" t="str">
        <f t="shared" si="7"/>
        <v>2034-35</v>
      </c>
    </row>
    <row r="36" spans="2:14" ht="14.4" customHeight="1" x14ac:dyDescent="0.3">
      <c r="B36" s="21">
        <v>1</v>
      </c>
      <c r="C36" s="48"/>
      <c r="D36" s="34" t="s">
        <v>20</v>
      </c>
      <c r="E36" s="50">
        <f t="shared" ref="E36:N36" si="8">E30*E33/365</f>
        <v>7.463013698630137</v>
      </c>
      <c r="F36" s="50">
        <f t="shared" si="8"/>
        <v>29.833972602739731</v>
      </c>
      <c r="G36" s="50">
        <f t="shared" si="8"/>
        <v>49.825890410958905</v>
      </c>
      <c r="H36" s="50">
        <f t="shared" si="8"/>
        <v>73.479587671232892</v>
      </c>
      <c r="I36" s="50">
        <f t="shared" si="8"/>
        <v>105.49537335616441</v>
      </c>
      <c r="J36" s="50">
        <f t="shared" si="8"/>
        <v>135.54124307876714</v>
      </c>
      <c r="K36" s="50">
        <f t="shared" si="8"/>
        <v>172.13321990188359</v>
      </c>
      <c r="L36" s="50">
        <f t="shared" si="8"/>
        <v>217.80955866598464</v>
      </c>
      <c r="M36" s="50">
        <f t="shared" si="8"/>
        <v>273.79339248191229</v>
      </c>
      <c r="N36" s="50">
        <f t="shared" si="8"/>
        <v>342.69260007450572</v>
      </c>
    </row>
    <row r="38" spans="2:14" ht="14.4" customHeight="1" x14ac:dyDescent="0.3">
      <c r="B38" s="459" t="s">
        <v>20</v>
      </c>
      <c r="C38" s="459"/>
      <c r="D38" s="459"/>
      <c r="E38" s="50">
        <f>E36</f>
        <v>7.463013698630137</v>
      </c>
      <c r="F38" s="50">
        <f t="shared" ref="F38:M38" si="9">F36</f>
        <v>29.833972602739731</v>
      </c>
      <c r="G38" s="50">
        <f t="shared" si="9"/>
        <v>49.825890410958905</v>
      </c>
      <c r="H38" s="50">
        <f t="shared" si="9"/>
        <v>73.479587671232892</v>
      </c>
      <c r="I38" s="50">
        <f t="shared" si="9"/>
        <v>105.49537335616441</v>
      </c>
      <c r="J38" s="50">
        <f t="shared" si="9"/>
        <v>135.54124307876714</v>
      </c>
      <c r="K38" s="50">
        <f t="shared" si="9"/>
        <v>172.13321990188359</v>
      </c>
      <c r="L38" s="50">
        <f t="shared" si="9"/>
        <v>217.80955866598464</v>
      </c>
      <c r="M38" s="50">
        <f t="shared" si="9"/>
        <v>273.79339248191229</v>
      </c>
      <c r="N38" s="50">
        <f>N36</f>
        <v>342.69260007450572</v>
      </c>
    </row>
    <row r="40" spans="2:14" ht="14.4" customHeight="1" x14ac:dyDescent="0.3">
      <c r="B40" s="4"/>
      <c r="C40" s="29"/>
      <c r="D40" s="373" t="s">
        <v>491</v>
      </c>
      <c r="E40" s="29"/>
      <c r="F40" s="9"/>
      <c r="G40" s="10"/>
      <c r="H40" s="24"/>
      <c r="I40" s="24"/>
      <c r="J40" s="24"/>
      <c r="K40" s="24"/>
      <c r="L40" s="24"/>
      <c r="M40" s="24"/>
      <c r="N40" s="24"/>
    </row>
    <row r="41" spans="2:14" ht="14.4" customHeight="1" x14ac:dyDescent="0.3">
      <c r="B41" s="4"/>
      <c r="C41" s="4"/>
      <c r="D41" s="4"/>
      <c r="E41" s="4"/>
      <c r="F41" s="4"/>
      <c r="G41" s="24"/>
      <c r="H41" s="24"/>
      <c r="I41" s="24"/>
      <c r="J41" s="24"/>
      <c r="K41" s="24"/>
      <c r="L41" s="24"/>
      <c r="M41" s="24"/>
      <c r="N41" s="24"/>
    </row>
    <row r="43" spans="2:14" ht="14.4" customHeight="1" x14ac:dyDescent="0.3">
      <c r="B43" s="12" t="s">
        <v>1</v>
      </c>
      <c r="C43" s="4"/>
      <c r="D43" s="32" t="s">
        <v>266</v>
      </c>
      <c r="E43" s="14" t="str">
        <f>E32</f>
        <v>2025-26</v>
      </c>
      <c r="F43" s="14" t="str">
        <f t="shared" ref="F43:N43" si="10">F32</f>
        <v>2026-27</v>
      </c>
      <c r="G43" s="14" t="str">
        <f t="shared" si="10"/>
        <v>2027-28</v>
      </c>
      <c r="H43" s="14" t="str">
        <f t="shared" si="10"/>
        <v>2028-29</v>
      </c>
      <c r="I43" s="14" t="str">
        <f t="shared" si="10"/>
        <v>2029-30</v>
      </c>
      <c r="J43" s="14" t="str">
        <f t="shared" si="10"/>
        <v>2030-31</v>
      </c>
      <c r="K43" s="14" t="str">
        <f t="shared" si="10"/>
        <v>2031-32</v>
      </c>
      <c r="L43" s="14" t="str">
        <f t="shared" si="10"/>
        <v>2032-33</v>
      </c>
      <c r="M43" s="14" t="str">
        <f t="shared" si="10"/>
        <v>2033-34</v>
      </c>
      <c r="N43" s="14" t="str">
        <f t="shared" si="10"/>
        <v>2034-35</v>
      </c>
    </row>
    <row r="44" spans="2:14" ht="14.4" customHeight="1" x14ac:dyDescent="0.3">
      <c r="B44" s="21">
        <v>1</v>
      </c>
      <c r="C44" s="48"/>
      <c r="D44" s="34" t="s">
        <v>490</v>
      </c>
      <c r="E44" s="50">
        <f>'P&amp;L'!F17</f>
        <v>272.39999999999998</v>
      </c>
      <c r="F44" s="50">
        <f>'P&amp;L'!G17</f>
        <v>1088.94</v>
      </c>
      <c r="G44" s="50">
        <f>'P&amp;L'!H17</f>
        <v>1818.6450000000002</v>
      </c>
      <c r="H44" s="50">
        <f>'P&amp;L'!I17</f>
        <v>2682.0049500000005</v>
      </c>
      <c r="I44" s="50">
        <f>'P&amp;L'!J17</f>
        <v>3850.5811275000005</v>
      </c>
      <c r="J44" s="50">
        <f>'P&amp;L'!K17</f>
        <v>4947.2553723750007</v>
      </c>
      <c r="K44" s="50">
        <f>'P&amp;L'!L17</f>
        <v>6282.8625264187513</v>
      </c>
      <c r="L44" s="50">
        <f>'P&amp;L'!M17</f>
        <v>7950.0488913084391</v>
      </c>
      <c r="M44" s="50">
        <f>'P&amp;L'!N17</f>
        <v>9993.4588255897979</v>
      </c>
      <c r="N44" s="50">
        <f>'P&amp;L'!O17</f>
        <v>12508.27990271946</v>
      </c>
    </row>
    <row r="45" spans="2:14" ht="14.4" customHeight="1" x14ac:dyDescent="0.3">
      <c r="B45" s="95"/>
      <c r="C45" s="9"/>
      <c r="D45" s="29"/>
      <c r="E45" s="29"/>
      <c r="F45" s="29"/>
      <c r="G45" s="10"/>
      <c r="H45" s="10"/>
      <c r="I45" s="31"/>
      <c r="J45" s="31"/>
      <c r="K45" s="31"/>
      <c r="L45" s="31"/>
      <c r="M45" s="31"/>
      <c r="N45" s="31"/>
    </row>
    <row r="46" spans="2:14" ht="14.4" customHeight="1" x14ac:dyDescent="0.3">
      <c r="B46" s="12" t="s">
        <v>1</v>
      </c>
      <c r="C46" s="4"/>
      <c r="D46" s="32" t="s">
        <v>493</v>
      </c>
      <c r="E46" s="14" t="str">
        <f t="shared" ref="E46:N46" si="11">E43</f>
        <v>2025-26</v>
      </c>
      <c r="F46" s="14" t="str">
        <f t="shared" si="11"/>
        <v>2026-27</v>
      </c>
      <c r="G46" s="14" t="str">
        <f t="shared" si="11"/>
        <v>2027-28</v>
      </c>
      <c r="H46" s="14" t="str">
        <f t="shared" si="11"/>
        <v>2028-29</v>
      </c>
      <c r="I46" s="14" t="str">
        <f t="shared" si="11"/>
        <v>2029-30</v>
      </c>
      <c r="J46" s="14" t="str">
        <f t="shared" si="11"/>
        <v>2030-31</v>
      </c>
      <c r="K46" s="14" t="str">
        <f t="shared" si="11"/>
        <v>2031-32</v>
      </c>
      <c r="L46" s="14" t="str">
        <f t="shared" si="11"/>
        <v>2032-33</v>
      </c>
      <c r="M46" s="14" t="str">
        <f t="shared" si="11"/>
        <v>2033-34</v>
      </c>
      <c r="N46" s="14" t="str">
        <f t="shared" si="11"/>
        <v>2034-35</v>
      </c>
    </row>
    <row r="47" spans="2:14" ht="14.4" customHeight="1" x14ac:dyDescent="0.3">
      <c r="B47" s="21">
        <v>1</v>
      </c>
      <c r="C47" s="48"/>
      <c r="D47" s="374" t="str">
        <f>D46</f>
        <v>Inventory Days</v>
      </c>
      <c r="E47" s="375">
        <v>45</v>
      </c>
      <c r="F47" s="375">
        <v>45</v>
      </c>
      <c r="G47" s="375">
        <v>45</v>
      </c>
      <c r="H47" s="375">
        <v>45</v>
      </c>
      <c r="I47" s="375">
        <v>45</v>
      </c>
      <c r="J47" s="375">
        <v>45</v>
      </c>
      <c r="K47" s="375">
        <v>45</v>
      </c>
      <c r="L47" s="375">
        <v>45</v>
      </c>
      <c r="M47" s="375">
        <v>45</v>
      </c>
      <c r="N47" s="375">
        <v>45</v>
      </c>
    </row>
    <row r="48" spans="2:14" ht="14.4" customHeight="1" x14ac:dyDescent="0.3">
      <c r="B48" s="2"/>
      <c r="C48" s="4"/>
      <c r="D48" s="4"/>
      <c r="E48" s="4"/>
      <c r="F48" s="4"/>
      <c r="G48" s="24"/>
      <c r="H48" s="24"/>
      <c r="I48" s="24"/>
      <c r="J48" s="24"/>
      <c r="K48" s="24"/>
      <c r="L48" s="24"/>
      <c r="M48" s="24"/>
      <c r="N48" s="24"/>
    </row>
    <row r="49" spans="2:14" ht="14.4" customHeight="1" x14ac:dyDescent="0.3">
      <c r="B49" s="12" t="s">
        <v>1</v>
      </c>
      <c r="C49" s="4"/>
      <c r="D49" s="32" t="s">
        <v>32</v>
      </c>
      <c r="E49" s="14" t="str">
        <f t="shared" ref="E49:N49" si="12">E43</f>
        <v>2025-26</v>
      </c>
      <c r="F49" s="14" t="str">
        <f t="shared" si="12"/>
        <v>2026-27</v>
      </c>
      <c r="G49" s="14" t="str">
        <f t="shared" si="12"/>
        <v>2027-28</v>
      </c>
      <c r="H49" s="14" t="str">
        <f t="shared" si="12"/>
        <v>2028-29</v>
      </c>
      <c r="I49" s="14" t="str">
        <f t="shared" si="12"/>
        <v>2029-30</v>
      </c>
      <c r="J49" s="14" t="str">
        <f t="shared" si="12"/>
        <v>2030-31</v>
      </c>
      <c r="K49" s="14" t="str">
        <f t="shared" si="12"/>
        <v>2031-32</v>
      </c>
      <c r="L49" s="14" t="str">
        <f t="shared" si="12"/>
        <v>2032-33</v>
      </c>
      <c r="M49" s="14" t="str">
        <f t="shared" si="12"/>
        <v>2033-34</v>
      </c>
      <c r="N49" s="14" t="str">
        <f t="shared" si="12"/>
        <v>2034-35</v>
      </c>
    </row>
    <row r="50" spans="2:14" ht="14.4" customHeight="1" x14ac:dyDescent="0.3">
      <c r="B50" s="21">
        <v>1</v>
      </c>
      <c r="C50" s="48"/>
      <c r="D50" s="34" t="s">
        <v>32</v>
      </c>
      <c r="E50" s="50">
        <f t="shared" ref="E50:N50" si="13">E44*E47/365</f>
        <v>33.583561643835608</v>
      </c>
      <c r="F50" s="50">
        <f t="shared" si="13"/>
        <v>134.25287671232877</v>
      </c>
      <c r="G50" s="50">
        <f t="shared" si="13"/>
        <v>224.2165068493151</v>
      </c>
      <c r="H50" s="50">
        <f t="shared" si="13"/>
        <v>330.65814452054798</v>
      </c>
      <c r="I50" s="50">
        <f t="shared" si="13"/>
        <v>474.7291801027398</v>
      </c>
      <c r="J50" s="50">
        <f t="shared" si="13"/>
        <v>609.93559385445212</v>
      </c>
      <c r="K50" s="50">
        <f t="shared" si="13"/>
        <v>774.59948955847619</v>
      </c>
      <c r="L50" s="50">
        <f t="shared" si="13"/>
        <v>980.1430139969309</v>
      </c>
      <c r="M50" s="50">
        <f t="shared" si="13"/>
        <v>1232.0702661686053</v>
      </c>
      <c r="N50" s="50">
        <f t="shared" si="13"/>
        <v>1542.1167003352759</v>
      </c>
    </row>
    <row r="52" spans="2:14" ht="14.4" customHeight="1" x14ac:dyDescent="0.3">
      <c r="B52" s="459" t="s">
        <v>32</v>
      </c>
      <c r="C52" s="459"/>
      <c r="D52" s="459"/>
      <c r="E52" s="50">
        <f>E50</f>
        <v>33.583561643835608</v>
      </c>
      <c r="F52" s="50">
        <f t="shared" ref="F52:N52" si="14">F50</f>
        <v>134.25287671232877</v>
      </c>
      <c r="G52" s="50">
        <f t="shared" si="14"/>
        <v>224.2165068493151</v>
      </c>
      <c r="H52" s="50">
        <f t="shared" si="14"/>
        <v>330.65814452054798</v>
      </c>
      <c r="I52" s="50">
        <f t="shared" si="14"/>
        <v>474.7291801027398</v>
      </c>
      <c r="J52" s="50">
        <f t="shared" si="14"/>
        <v>609.93559385445212</v>
      </c>
      <c r="K52" s="50">
        <f t="shared" si="14"/>
        <v>774.59948955847619</v>
      </c>
      <c r="L52" s="50">
        <f t="shared" si="14"/>
        <v>980.1430139969309</v>
      </c>
      <c r="M52" s="50">
        <f t="shared" si="14"/>
        <v>1232.0702661686053</v>
      </c>
      <c r="N52" s="50">
        <f t="shared" si="14"/>
        <v>1542.1167003352759</v>
      </c>
    </row>
    <row r="54" spans="2:14" ht="14.4" customHeight="1" x14ac:dyDescent="0.3">
      <c r="C54" s="4"/>
      <c r="D54" s="32" t="s">
        <v>494</v>
      </c>
      <c r="E54" s="14" t="str">
        <f>E49</f>
        <v>2025-26</v>
      </c>
      <c r="F54" s="14" t="str">
        <f t="shared" ref="F54:N54" si="15">F49</f>
        <v>2026-27</v>
      </c>
      <c r="G54" s="14" t="str">
        <f t="shared" si="15"/>
        <v>2027-28</v>
      </c>
      <c r="H54" s="14" t="str">
        <f t="shared" si="15"/>
        <v>2028-29</v>
      </c>
      <c r="I54" s="14" t="str">
        <f t="shared" si="15"/>
        <v>2029-30</v>
      </c>
      <c r="J54" s="14" t="str">
        <f t="shared" si="15"/>
        <v>2030-31</v>
      </c>
      <c r="K54" s="14" t="str">
        <f t="shared" si="15"/>
        <v>2031-32</v>
      </c>
      <c r="L54" s="14" t="str">
        <f t="shared" si="15"/>
        <v>2032-33</v>
      </c>
      <c r="M54" s="14" t="str">
        <f t="shared" si="15"/>
        <v>2033-34</v>
      </c>
      <c r="N54" s="14" t="str">
        <f t="shared" si="15"/>
        <v>2034-35</v>
      </c>
    </row>
    <row r="55" spans="2:14" ht="14.4" customHeight="1" x14ac:dyDescent="0.3">
      <c r="C55" s="48"/>
      <c r="D55" s="34" t="s">
        <v>494</v>
      </c>
      <c r="E55" s="50">
        <f>E24-E38+E52</f>
        <v>77.901369863013699</v>
      </c>
      <c r="F55" s="50">
        <f t="shared" ref="F55:N55" si="16">F24-F38+F52</f>
        <v>281.46000000000004</v>
      </c>
      <c r="G55" s="50">
        <f t="shared" si="16"/>
        <v>488.03445205479454</v>
      </c>
      <c r="H55" s="50">
        <f t="shared" si="16"/>
        <v>745.56910479452063</v>
      </c>
      <c r="I55" s="50">
        <f t="shared" si="16"/>
        <v>1082.9036629109592</v>
      </c>
      <c r="J55" s="50">
        <f t="shared" si="16"/>
        <v>1402.7653682414389</v>
      </c>
      <c r="K55" s="50">
        <f t="shared" si="16"/>
        <v>1781.9129173107026</v>
      </c>
      <c r="L55" s="50">
        <f t="shared" si="16"/>
        <v>2249.3790660013237</v>
      </c>
      <c r="M55" s="50">
        <f t="shared" si="16"/>
        <v>2807.6719269702126</v>
      </c>
      <c r="N55" s="50">
        <f t="shared" si="16"/>
        <v>3477.9321244014882</v>
      </c>
    </row>
    <row r="56" spans="2:14" ht="14.4" customHeight="1" x14ac:dyDescent="0.3">
      <c r="C56" s="48"/>
      <c r="D56" s="34" t="s">
        <v>495</v>
      </c>
      <c r="E56" s="50">
        <f>E55-(Config!C9+Config!C10-Config!G8)</f>
        <v>68.307523763013705</v>
      </c>
      <c r="F56" s="50">
        <f>F55-E55</f>
        <v>203.55863013698632</v>
      </c>
      <c r="G56" s="50">
        <f t="shared" ref="G56:N56" si="17">G55-F55</f>
        <v>206.57445205479451</v>
      </c>
      <c r="H56" s="50">
        <f t="shared" si="17"/>
        <v>257.53465273972608</v>
      </c>
      <c r="I56" s="50">
        <f t="shared" si="17"/>
        <v>337.33455811643853</v>
      </c>
      <c r="J56" s="50">
        <f t="shared" si="17"/>
        <v>319.86170533047971</v>
      </c>
      <c r="K56" s="50">
        <f t="shared" si="17"/>
        <v>379.14754906926373</v>
      </c>
      <c r="L56" s="50">
        <f t="shared" si="17"/>
        <v>467.46614869062114</v>
      </c>
      <c r="M56" s="50">
        <f t="shared" si="17"/>
        <v>558.29286096888882</v>
      </c>
      <c r="N56" s="50">
        <f t="shared" si="17"/>
        <v>670.26019743127563</v>
      </c>
    </row>
  </sheetData>
  <mergeCells count="3">
    <mergeCell ref="B24:D24"/>
    <mergeCell ref="B38:D38"/>
    <mergeCell ref="B52:D52"/>
  </mergeCells>
  <pageMargins left="0.70866141732283472" right="0.70866141732283472" top="0.74803149606299213" bottom="0.74803149606299213" header="0.31496062992125984" footer="0.31496062992125984"/>
  <pageSetup paperSize="9" scale="81" orientation="portrait" errors="blank" r:id="rId1"/>
  <headerFooter>
    <oddFooter>&amp;C&amp;"Ubuntu,Regular"&amp;K346D9CPage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8342-3F73-4C9E-B274-D740CCEFBCD4}">
  <dimension ref="B2:DR73"/>
  <sheetViews>
    <sheetView showGridLines="0" workbookViewId="0">
      <selection activeCell="C1" sqref="C1"/>
    </sheetView>
  </sheetViews>
  <sheetFormatPr defaultRowHeight="14.4" x14ac:dyDescent="0.3"/>
  <cols>
    <col min="2" max="2" width="36.88671875" customWidth="1"/>
    <col min="3" max="3" width="16.109375" customWidth="1"/>
    <col min="4" max="4" width="17" customWidth="1"/>
    <col min="5" max="5" width="16" customWidth="1"/>
    <col min="6" max="6" width="16.88671875" customWidth="1"/>
    <col min="7" max="7" width="16.44140625" customWidth="1"/>
    <col min="8" max="8" width="14.5546875" customWidth="1"/>
    <col min="9" max="60" width="9.109375" bestFit="1" customWidth="1"/>
    <col min="61" max="61" width="11.5546875" bestFit="1" customWidth="1"/>
    <col min="62" max="82" width="9.109375" bestFit="1" customWidth="1"/>
    <col min="83" max="122" width="9" bestFit="1" customWidth="1"/>
  </cols>
  <sheetData>
    <row r="2" spans="2:122" x14ac:dyDescent="0.3">
      <c r="B2" s="376" t="s">
        <v>426</v>
      </c>
    </row>
    <row r="4" spans="2:122" x14ac:dyDescent="0.3">
      <c r="B4" s="181" t="s">
        <v>428</v>
      </c>
      <c r="C4" s="182" t="s">
        <v>275</v>
      </c>
      <c r="D4" s="182" t="s">
        <v>429</v>
      </c>
      <c r="E4" s="182" t="s">
        <v>430</v>
      </c>
      <c r="F4" s="182" t="s">
        <v>431</v>
      </c>
      <c r="G4" s="182" t="s">
        <v>130</v>
      </c>
    </row>
    <row r="5" spans="2:122" x14ac:dyDescent="0.3">
      <c r="B5" s="183" t="s">
        <v>450</v>
      </c>
      <c r="C5" s="168">
        <f>13706613.83/100000</f>
        <v>137.06613830000001</v>
      </c>
      <c r="D5" s="379">
        <v>0.1</v>
      </c>
      <c r="E5" s="168">
        <v>120</v>
      </c>
      <c r="F5" s="169">
        <v>1</v>
      </c>
      <c r="G5" s="386">
        <f>-PMT(D5/12,E5,C5)</f>
        <v>1.8113391177882454</v>
      </c>
    </row>
    <row r="7" spans="2:122" x14ac:dyDescent="0.3">
      <c r="B7" s="378" t="s">
        <v>427</v>
      </c>
      <c r="C7" s="377">
        <v>1</v>
      </c>
      <c r="D7" s="377">
        <v>2</v>
      </c>
      <c r="E7" s="377">
        <v>3</v>
      </c>
      <c r="F7" s="377">
        <v>4</v>
      </c>
      <c r="G7" s="377">
        <v>5</v>
      </c>
      <c r="H7" s="377">
        <v>6</v>
      </c>
      <c r="I7" s="377">
        <v>7</v>
      </c>
      <c r="J7" s="377">
        <v>8</v>
      </c>
      <c r="K7" s="377">
        <v>9</v>
      </c>
      <c r="L7" s="377">
        <v>10</v>
      </c>
      <c r="M7" s="377">
        <v>11</v>
      </c>
      <c r="N7" s="377">
        <v>12</v>
      </c>
      <c r="O7" s="377">
        <v>13</v>
      </c>
      <c r="P7" s="377">
        <v>14</v>
      </c>
      <c r="Q7" s="377">
        <v>15</v>
      </c>
      <c r="R7" s="377">
        <v>16</v>
      </c>
      <c r="S7" s="377">
        <v>17</v>
      </c>
      <c r="T7" s="377">
        <v>18</v>
      </c>
      <c r="U7" s="377">
        <v>19</v>
      </c>
      <c r="V7" s="377">
        <v>20</v>
      </c>
      <c r="W7" s="377">
        <v>21</v>
      </c>
      <c r="X7" s="377">
        <v>22</v>
      </c>
      <c r="Y7" s="377">
        <v>23</v>
      </c>
      <c r="Z7" s="377">
        <v>24</v>
      </c>
      <c r="AA7" s="377">
        <v>25</v>
      </c>
      <c r="AB7" s="377">
        <v>26</v>
      </c>
      <c r="AC7" s="377">
        <v>27</v>
      </c>
      <c r="AD7" s="377">
        <v>28</v>
      </c>
      <c r="AE7" s="377">
        <v>29</v>
      </c>
      <c r="AF7" s="377">
        <v>30</v>
      </c>
      <c r="AG7" s="377">
        <v>31</v>
      </c>
      <c r="AH7" s="377">
        <v>32</v>
      </c>
      <c r="AI7" s="377">
        <v>33</v>
      </c>
      <c r="AJ7" s="377">
        <v>34</v>
      </c>
      <c r="AK7" s="377">
        <v>35</v>
      </c>
      <c r="AL7" s="377">
        <v>36</v>
      </c>
      <c r="AM7" s="377">
        <v>37</v>
      </c>
      <c r="AN7" s="377">
        <v>38</v>
      </c>
      <c r="AO7" s="377">
        <v>39</v>
      </c>
      <c r="AP7" s="377">
        <v>40</v>
      </c>
      <c r="AQ7" s="377">
        <v>41</v>
      </c>
      <c r="AR7" s="377">
        <v>42</v>
      </c>
      <c r="AS7" s="377">
        <v>43</v>
      </c>
      <c r="AT7" s="377">
        <v>44</v>
      </c>
      <c r="AU7" s="377">
        <v>45</v>
      </c>
      <c r="AV7" s="377">
        <v>46</v>
      </c>
      <c r="AW7" s="377">
        <v>47</v>
      </c>
      <c r="AX7" s="377">
        <v>48</v>
      </c>
      <c r="AY7" s="377">
        <v>49</v>
      </c>
      <c r="AZ7" s="377">
        <v>50</v>
      </c>
      <c r="BA7" s="377">
        <v>51</v>
      </c>
      <c r="BB7" s="377">
        <v>52</v>
      </c>
      <c r="BC7" s="377">
        <v>53</v>
      </c>
      <c r="BD7" s="377">
        <v>54</v>
      </c>
      <c r="BE7" s="377">
        <v>55</v>
      </c>
      <c r="BF7" s="377">
        <v>56</v>
      </c>
      <c r="BG7" s="377">
        <v>57</v>
      </c>
      <c r="BH7" s="377">
        <v>58</v>
      </c>
      <c r="BI7" s="377">
        <v>59</v>
      </c>
      <c r="BJ7" s="377">
        <v>60</v>
      </c>
      <c r="BK7" s="377">
        <v>61</v>
      </c>
      <c r="BL7" s="377">
        <v>62</v>
      </c>
      <c r="BM7" s="377">
        <v>63</v>
      </c>
      <c r="BN7" s="377">
        <v>64</v>
      </c>
      <c r="BO7" s="377">
        <v>65</v>
      </c>
      <c r="BP7" s="377">
        <v>66</v>
      </c>
      <c r="BQ7" s="377">
        <v>67</v>
      </c>
      <c r="BR7" s="377">
        <v>68</v>
      </c>
      <c r="BS7" s="377">
        <v>69</v>
      </c>
      <c r="BT7" s="377">
        <v>70</v>
      </c>
      <c r="BU7" s="377">
        <v>71</v>
      </c>
      <c r="BV7" s="377">
        <v>72</v>
      </c>
      <c r="BW7" s="377">
        <v>73</v>
      </c>
      <c r="BX7" s="377">
        <v>74</v>
      </c>
      <c r="BY7" s="377">
        <v>75</v>
      </c>
      <c r="BZ7" s="377">
        <v>76</v>
      </c>
      <c r="CA7" s="377">
        <v>77</v>
      </c>
      <c r="CB7" s="377">
        <v>78</v>
      </c>
      <c r="CC7" s="377">
        <v>79</v>
      </c>
      <c r="CD7" s="377">
        <v>80</v>
      </c>
      <c r="CE7" s="377">
        <v>81</v>
      </c>
      <c r="CF7" s="377">
        <v>82</v>
      </c>
      <c r="CG7" s="377">
        <v>83</v>
      </c>
      <c r="CH7" s="377">
        <v>84</v>
      </c>
      <c r="CI7" s="377">
        <v>85</v>
      </c>
      <c r="CJ7" s="377">
        <v>86</v>
      </c>
      <c r="CK7" s="377">
        <v>87</v>
      </c>
      <c r="CL7" s="377">
        <v>88</v>
      </c>
      <c r="CM7" s="377">
        <v>89</v>
      </c>
      <c r="CN7" s="377">
        <v>90</v>
      </c>
      <c r="CO7" s="377">
        <v>91</v>
      </c>
      <c r="CP7" s="377">
        <v>92</v>
      </c>
      <c r="CQ7" s="377">
        <v>93</v>
      </c>
      <c r="CR7" s="377">
        <v>94</v>
      </c>
      <c r="CS7" s="377">
        <v>95</v>
      </c>
      <c r="CT7" s="377">
        <v>96</v>
      </c>
      <c r="CU7" s="377">
        <v>97</v>
      </c>
      <c r="CV7" s="377">
        <v>98</v>
      </c>
      <c r="CW7" s="377">
        <v>99</v>
      </c>
      <c r="CX7" s="377">
        <v>100</v>
      </c>
      <c r="CY7" s="377">
        <v>101</v>
      </c>
      <c r="CZ7" s="377">
        <v>102</v>
      </c>
      <c r="DA7" s="377">
        <v>103</v>
      </c>
      <c r="DB7" s="377">
        <v>104</v>
      </c>
      <c r="DC7" s="377">
        <v>105</v>
      </c>
      <c r="DD7" s="377">
        <v>106</v>
      </c>
      <c r="DE7" s="377">
        <v>107</v>
      </c>
      <c r="DF7" s="377">
        <v>108</v>
      </c>
      <c r="DG7" s="377">
        <v>109</v>
      </c>
      <c r="DH7" s="377">
        <v>110</v>
      </c>
      <c r="DI7" s="377">
        <v>111</v>
      </c>
      <c r="DJ7" s="377">
        <v>112</v>
      </c>
      <c r="DK7" s="377">
        <v>113</v>
      </c>
      <c r="DL7" s="377">
        <v>114</v>
      </c>
      <c r="DM7" s="377">
        <v>115</v>
      </c>
      <c r="DN7" s="377">
        <v>116</v>
      </c>
      <c r="DO7" s="377">
        <v>117</v>
      </c>
      <c r="DP7" s="377">
        <v>118</v>
      </c>
      <c r="DQ7" s="377">
        <v>119</v>
      </c>
      <c r="DR7" s="377">
        <v>120</v>
      </c>
    </row>
    <row r="8" spans="2:122" x14ac:dyDescent="0.3">
      <c r="B8" s="380" t="s">
        <v>433</v>
      </c>
      <c r="C8" s="381">
        <v>1</v>
      </c>
      <c r="D8" s="381">
        <v>2</v>
      </c>
      <c r="E8" s="381">
        <v>3</v>
      </c>
      <c r="F8" s="381">
        <v>4</v>
      </c>
      <c r="G8" s="381">
        <v>5</v>
      </c>
      <c r="H8" s="381">
        <v>6</v>
      </c>
      <c r="I8" s="381">
        <v>7</v>
      </c>
      <c r="J8" s="381">
        <v>8</v>
      </c>
      <c r="K8" s="381">
        <v>9</v>
      </c>
      <c r="L8" s="381">
        <v>10</v>
      </c>
      <c r="M8" s="381">
        <v>11</v>
      </c>
      <c r="N8" s="381">
        <v>12</v>
      </c>
      <c r="O8" s="381">
        <v>13</v>
      </c>
      <c r="P8" s="381">
        <v>14</v>
      </c>
      <c r="Q8" s="381">
        <v>15</v>
      </c>
      <c r="R8" s="381">
        <v>16</v>
      </c>
      <c r="S8" s="381">
        <v>17</v>
      </c>
      <c r="T8" s="381">
        <v>18</v>
      </c>
      <c r="U8" s="381">
        <v>19</v>
      </c>
      <c r="V8" s="381">
        <v>20</v>
      </c>
      <c r="W8" s="381">
        <v>21</v>
      </c>
      <c r="X8" s="381">
        <v>22</v>
      </c>
      <c r="Y8" s="381">
        <v>23</v>
      </c>
      <c r="Z8" s="381">
        <v>24</v>
      </c>
      <c r="AA8" s="381">
        <v>25</v>
      </c>
      <c r="AB8" s="381">
        <v>26</v>
      </c>
      <c r="AC8" s="381">
        <v>27</v>
      </c>
      <c r="AD8" s="381">
        <v>28</v>
      </c>
      <c r="AE8" s="381">
        <v>29</v>
      </c>
      <c r="AF8" s="381">
        <v>30</v>
      </c>
      <c r="AG8" s="381">
        <v>31</v>
      </c>
      <c r="AH8" s="381">
        <v>32</v>
      </c>
      <c r="AI8" s="381">
        <v>33</v>
      </c>
      <c r="AJ8" s="381">
        <v>34</v>
      </c>
      <c r="AK8" s="381">
        <v>35</v>
      </c>
      <c r="AL8" s="381">
        <v>36</v>
      </c>
      <c r="AM8" s="381">
        <v>37</v>
      </c>
      <c r="AN8" s="381">
        <v>38</v>
      </c>
      <c r="AO8" s="381">
        <v>39</v>
      </c>
      <c r="AP8" s="381">
        <v>40</v>
      </c>
      <c r="AQ8" s="381">
        <v>41</v>
      </c>
      <c r="AR8" s="381">
        <v>42</v>
      </c>
      <c r="AS8" s="381">
        <v>43</v>
      </c>
      <c r="AT8" s="381">
        <v>44</v>
      </c>
      <c r="AU8" s="381">
        <v>45</v>
      </c>
      <c r="AV8" s="381">
        <v>46</v>
      </c>
      <c r="AW8" s="381">
        <v>47</v>
      </c>
      <c r="AX8" s="381">
        <v>48</v>
      </c>
      <c r="AY8" s="381">
        <v>49</v>
      </c>
      <c r="AZ8" s="381">
        <v>50</v>
      </c>
      <c r="BA8" s="381">
        <v>51</v>
      </c>
      <c r="BB8" s="381">
        <v>52</v>
      </c>
      <c r="BC8" s="381">
        <v>53</v>
      </c>
      <c r="BD8" s="381">
        <v>54</v>
      </c>
      <c r="BE8" s="381">
        <v>55</v>
      </c>
      <c r="BF8" s="381">
        <v>56</v>
      </c>
      <c r="BG8" s="381">
        <v>57</v>
      </c>
      <c r="BH8" s="381">
        <v>58</v>
      </c>
      <c r="BI8" s="381">
        <v>59</v>
      </c>
      <c r="BJ8" s="381">
        <v>60</v>
      </c>
      <c r="BK8" s="381">
        <v>61</v>
      </c>
      <c r="BL8" s="381">
        <v>62</v>
      </c>
      <c r="BM8" s="381">
        <v>63</v>
      </c>
      <c r="BN8" s="381">
        <v>64</v>
      </c>
      <c r="BO8" s="381">
        <v>65</v>
      </c>
      <c r="BP8" s="381">
        <v>66</v>
      </c>
      <c r="BQ8" s="381">
        <v>67</v>
      </c>
      <c r="BR8" s="381">
        <v>68</v>
      </c>
      <c r="BS8" s="381">
        <v>69</v>
      </c>
      <c r="BT8" s="381">
        <v>70</v>
      </c>
      <c r="BU8" s="381">
        <v>71</v>
      </c>
      <c r="BV8" s="381">
        <v>72</v>
      </c>
      <c r="BW8" s="381">
        <v>73</v>
      </c>
      <c r="BX8" s="381">
        <v>74</v>
      </c>
      <c r="BY8" s="381">
        <v>75</v>
      </c>
      <c r="BZ8" s="381">
        <v>76</v>
      </c>
      <c r="CA8" s="381">
        <v>77</v>
      </c>
      <c r="CB8" s="381">
        <v>78</v>
      </c>
      <c r="CC8" s="381">
        <v>79</v>
      </c>
      <c r="CD8" s="381">
        <v>80</v>
      </c>
      <c r="CE8" s="381">
        <v>81</v>
      </c>
      <c r="CF8" s="381">
        <v>82</v>
      </c>
      <c r="CG8" s="381">
        <v>83</v>
      </c>
      <c r="CH8" s="381">
        <v>84</v>
      </c>
      <c r="CI8" s="381">
        <v>85</v>
      </c>
      <c r="CJ8" s="381">
        <v>86</v>
      </c>
      <c r="CK8" s="381">
        <v>87</v>
      </c>
      <c r="CL8" s="381">
        <v>88</v>
      </c>
      <c r="CM8" s="381">
        <v>89</v>
      </c>
      <c r="CN8" s="381">
        <v>90</v>
      </c>
      <c r="CO8" s="381">
        <v>91</v>
      </c>
      <c r="CP8" s="381">
        <v>92</v>
      </c>
      <c r="CQ8" s="381">
        <v>93</v>
      </c>
      <c r="CR8" s="381">
        <v>94</v>
      </c>
      <c r="CS8" s="381">
        <v>95</v>
      </c>
      <c r="CT8" s="381">
        <v>96</v>
      </c>
      <c r="CU8" s="381">
        <v>97</v>
      </c>
      <c r="CV8" s="381">
        <v>98</v>
      </c>
      <c r="CW8" s="381">
        <v>99</v>
      </c>
      <c r="CX8" s="381">
        <v>100</v>
      </c>
      <c r="CY8" s="381">
        <v>101</v>
      </c>
      <c r="CZ8" s="381">
        <v>102</v>
      </c>
      <c r="DA8" s="381">
        <v>103</v>
      </c>
      <c r="DB8" s="381">
        <v>104</v>
      </c>
      <c r="DC8" s="381">
        <v>105</v>
      </c>
      <c r="DD8" s="381">
        <v>106</v>
      </c>
      <c r="DE8" s="381">
        <v>107</v>
      </c>
      <c r="DF8" s="381">
        <v>108</v>
      </c>
      <c r="DG8" s="381">
        <v>109</v>
      </c>
      <c r="DH8" s="381">
        <v>110</v>
      </c>
      <c r="DI8" s="381">
        <v>111</v>
      </c>
      <c r="DJ8" s="381">
        <v>112</v>
      </c>
      <c r="DK8" s="381">
        <v>113</v>
      </c>
      <c r="DL8" s="381">
        <v>114</v>
      </c>
      <c r="DM8" s="381">
        <v>115</v>
      </c>
      <c r="DN8" s="381">
        <v>116</v>
      </c>
      <c r="DO8" s="381">
        <v>117</v>
      </c>
      <c r="DP8" s="381">
        <v>118</v>
      </c>
      <c r="DQ8" s="381">
        <v>119</v>
      </c>
      <c r="DR8" s="381">
        <v>120</v>
      </c>
    </row>
    <row r="9" spans="2:122" x14ac:dyDescent="0.3">
      <c r="B9" s="382" t="s">
        <v>434</v>
      </c>
      <c r="C9" s="391">
        <f>-IFERROR(PPMT($D$5/12,C8,$E$5,$C$5),0)</f>
        <v>0.66912129862157887</v>
      </c>
      <c r="D9" s="391">
        <f t="shared" ref="D9:BO9" si="0">-IFERROR(PPMT($D$5/12,D8,$E$5,$C$5),0)</f>
        <v>0.67469730944342532</v>
      </c>
      <c r="E9" s="391">
        <f t="shared" si="0"/>
        <v>0.68031978702212059</v>
      </c>
      <c r="F9" s="391">
        <f t="shared" si="0"/>
        <v>0.68598911858063816</v>
      </c>
      <c r="G9" s="391">
        <f t="shared" si="0"/>
        <v>0.69170569456881015</v>
      </c>
      <c r="H9" s="391">
        <f t="shared" si="0"/>
        <v>0.69746990869021686</v>
      </c>
      <c r="I9" s="391">
        <f t="shared" si="0"/>
        <v>0.70328215792930193</v>
      </c>
      <c r="J9" s="391">
        <f t="shared" si="0"/>
        <v>0.70914284257871285</v>
      </c>
      <c r="K9" s="391">
        <f t="shared" si="0"/>
        <v>0.71505236626686886</v>
      </c>
      <c r="L9" s="391">
        <f t="shared" si="0"/>
        <v>0.72101113598575939</v>
      </c>
      <c r="M9" s="391">
        <f t="shared" si="0"/>
        <v>0.72701956211897412</v>
      </c>
      <c r="N9" s="391">
        <f t="shared" si="0"/>
        <v>0.73307805846996565</v>
      </c>
      <c r="O9" s="391">
        <f t="shared" si="0"/>
        <v>0.73918704229054866</v>
      </c>
      <c r="P9" s="391">
        <f t="shared" si="0"/>
        <v>0.74534693430963661</v>
      </c>
      <c r="Q9" s="391">
        <f t="shared" si="0"/>
        <v>0.75155815876221677</v>
      </c>
      <c r="R9" s="391">
        <f t="shared" si="0"/>
        <v>0.75782114341856865</v>
      </c>
      <c r="S9" s="391">
        <f t="shared" si="0"/>
        <v>0.7641363196137233</v>
      </c>
      <c r="T9" s="391">
        <f t="shared" si="0"/>
        <v>0.77050412227717102</v>
      </c>
      <c r="U9" s="391">
        <f t="shared" si="0"/>
        <v>0.77692498996281401</v>
      </c>
      <c r="V9" s="391">
        <f t="shared" si="0"/>
        <v>0.78339936487917095</v>
      </c>
      <c r="W9" s="391">
        <f t="shared" si="0"/>
        <v>0.78992769291983067</v>
      </c>
      <c r="X9" s="391">
        <f t="shared" si="0"/>
        <v>0.79651042369416258</v>
      </c>
      <c r="Y9" s="391">
        <f t="shared" si="0"/>
        <v>0.80314801055828067</v>
      </c>
      <c r="Z9" s="391">
        <f t="shared" si="0"/>
        <v>0.80984091064626618</v>
      </c>
      <c r="AA9" s="391">
        <f t="shared" si="0"/>
        <v>0.81658958490165179</v>
      </c>
      <c r="AB9" s="391">
        <f t="shared" si="0"/>
        <v>0.82339449810916554</v>
      </c>
      <c r="AC9" s="391">
        <f t="shared" si="0"/>
        <v>0.830256118926742</v>
      </c>
      <c r="AD9" s="391">
        <f t="shared" si="0"/>
        <v>0.83717491991779813</v>
      </c>
      <c r="AE9" s="391">
        <f t="shared" si="0"/>
        <v>0.84415137758377978</v>
      </c>
      <c r="AF9" s="391">
        <f t="shared" si="0"/>
        <v>0.85118597239697791</v>
      </c>
      <c r="AG9" s="391">
        <f t="shared" si="0"/>
        <v>0.85827918883361942</v>
      </c>
      <c r="AH9" s="391">
        <f t="shared" si="0"/>
        <v>0.86543151540723295</v>
      </c>
      <c r="AI9" s="391">
        <f t="shared" si="0"/>
        <v>0.87264344470229327</v>
      </c>
      <c r="AJ9" s="391">
        <f t="shared" si="0"/>
        <v>0.87991547340814558</v>
      </c>
      <c r="AK9" s="391">
        <f t="shared" si="0"/>
        <v>0.8872481023532135</v>
      </c>
      <c r="AL9" s="391">
        <f t="shared" si="0"/>
        <v>0.89464183653949036</v>
      </c>
      <c r="AM9" s="391">
        <f t="shared" si="0"/>
        <v>0.90209718517731952</v>
      </c>
      <c r="AN9" s="391">
        <f t="shared" si="0"/>
        <v>0.90961466172046368</v>
      </c>
      <c r="AO9" s="391">
        <f t="shared" si="0"/>
        <v>0.91719478390146758</v>
      </c>
      <c r="AP9" s="391">
        <f t="shared" si="0"/>
        <v>0.9248380737673132</v>
      </c>
      <c r="AQ9" s="391">
        <f t="shared" si="0"/>
        <v>0.93254505771537399</v>
      </c>
      <c r="AR9" s="391">
        <f t="shared" si="0"/>
        <v>0.94031626652966882</v>
      </c>
      <c r="AS9" s="391">
        <f t="shared" si="0"/>
        <v>0.94815223541741622</v>
      </c>
      <c r="AT9" s="391">
        <f t="shared" si="0"/>
        <v>0.95605350404589451</v>
      </c>
      <c r="AU9" s="391">
        <f t="shared" si="0"/>
        <v>0.96402061657961047</v>
      </c>
      <c r="AV9" s="391">
        <f t="shared" si="0"/>
        <v>0.97205412171777383</v>
      </c>
      <c r="AW9" s="391">
        <f t="shared" si="0"/>
        <v>0.98015457273208861</v>
      </c>
      <c r="AX9" s="391">
        <f t="shared" si="0"/>
        <v>0.98832252750485605</v>
      </c>
      <c r="AY9" s="391">
        <f t="shared" si="0"/>
        <v>0.99655854856739645</v>
      </c>
      <c r="AZ9" s="391">
        <f t="shared" si="0"/>
        <v>1.0048632031387914</v>
      </c>
      <c r="BA9" s="391">
        <f t="shared" si="0"/>
        <v>1.0132370631649481</v>
      </c>
      <c r="BB9" s="391">
        <f t="shared" si="0"/>
        <v>1.0216807053579893</v>
      </c>
      <c r="BC9" s="391">
        <f t="shared" si="0"/>
        <v>1.0301947112359724</v>
      </c>
      <c r="BD9" s="391">
        <f t="shared" si="0"/>
        <v>1.038779667162939</v>
      </c>
      <c r="BE9" s="391">
        <f t="shared" si="0"/>
        <v>1.0474361643892969</v>
      </c>
      <c r="BF9" s="391">
        <f t="shared" si="0"/>
        <v>1.0561647990925409</v>
      </c>
      <c r="BG9" s="391">
        <f t="shared" si="0"/>
        <v>1.0649661724183119</v>
      </c>
      <c r="BH9" s="391">
        <f t="shared" si="0"/>
        <v>1.073840890521798</v>
      </c>
      <c r="BI9" s="391">
        <f t="shared" si="0"/>
        <v>1.0827895646094798</v>
      </c>
      <c r="BJ9" s="391">
        <f t="shared" si="0"/>
        <v>1.0918128109812253</v>
      </c>
      <c r="BK9" s="391">
        <f t="shared" si="0"/>
        <v>1.1009112510727355</v>
      </c>
      <c r="BL9" s="391">
        <f t="shared" si="0"/>
        <v>1.1100855114983417</v>
      </c>
      <c r="BM9" s="391">
        <f t="shared" si="0"/>
        <v>1.1193362240941613</v>
      </c>
      <c r="BN9" s="391">
        <f t="shared" si="0"/>
        <v>1.1286640259616125</v>
      </c>
      <c r="BO9" s="391">
        <f t="shared" si="0"/>
        <v>1.1380695595112928</v>
      </c>
      <c r="BP9" s="391">
        <f t="shared" ref="BP9:DR9" si="1">-IFERROR(PPMT($D$5/12,BP8,$E$5,$C$5),0)</f>
        <v>1.1475534725072201</v>
      </c>
      <c r="BQ9" s="391">
        <f t="shared" si="1"/>
        <v>1.1571164181114468</v>
      </c>
      <c r="BR9" s="391">
        <f t="shared" si="1"/>
        <v>1.1667590549290423</v>
      </c>
      <c r="BS9" s="391">
        <f t="shared" si="1"/>
        <v>1.1764820470534509</v>
      </c>
      <c r="BT9" s="391">
        <f t="shared" si="1"/>
        <v>1.1862860641122297</v>
      </c>
      <c r="BU9" s="391">
        <f t="shared" si="1"/>
        <v>1.1961717813131649</v>
      </c>
      <c r="BV9" s="391">
        <f t="shared" si="1"/>
        <v>1.2061398794907747</v>
      </c>
      <c r="BW9" s="391">
        <f t="shared" si="1"/>
        <v>1.2161910451531979</v>
      </c>
      <c r="BX9" s="391">
        <f t="shared" si="1"/>
        <v>1.2263259705294745</v>
      </c>
      <c r="BY9" s="391">
        <f t="shared" si="1"/>
        <v>1.23654535361722</v>
      </c>
      <c r="BZ9" s="391">
        <f t="shared" si="1"/>
        <v>1.2468498982306968</v>
      </c>
      <c r="CA9" s="391">
        <f t="shared" si="1"/>
        <v>1.257240314049286</v>
      </c>
      <c r="CB9" s="391">
        <f t="shared" si="1"/>
        <v>1.2677173166663636</v>
      </c>
      <c r="CC9" s="391">
        <f t="shared" si="1"/>
        <v>1.2782816276385833</v>
      </c>
      <c r="CD9" s="391">
        <f t="shared" si="1"/>
        <v>1.2889339745355712</v>
      </c>
      <c r="CE9" s="391">
        <f t="shared" si="1"/>
        <v>1.2996750909900345</v>
      </c>
      <c r="CF9" s="391">
        <f t="shared" si="1"/>
        <v>1.3105057167482848</v>
      </c>
      <c r="CG9" s="391">
        <f t="shared" si="1"/>
        <v>1.321426597721187</v>
      </c>
      <c r="CH9" s="391">
        <f t="shared" si="1"/>
        <v>1.3324384860355303</v>
      </c>
      <c r="CI9" s="391">
        <f t="shared" si="1"/>
        <v>1.3435421400858265</v>
      </c>
      <c r="CJ9" s="391">
        <f t="shared" si="1"/>
        <v>1.3547383245865414</v>
      </c>
      <c r="CK9" s="391">
        <f t="shared" si="1"/>
        <v>1.3660278106247628</v>
      </c>
      <c r="CL9" s="391">
        <f t="shared" si="1"/>
        <v>1.3774113757133024</v>
      </c>
      <c r="CM9" s="391">
        <f t="shared" si="1"/>
        <v>1.3888898038442468</v>
      </c>
      <c r="CN9" s="391">
        <f t="shared" si="1"/>
        <v>1.4004638855429488</v>
      </c>
      <c r="CO9" s="391">
        <f t="shared" si="1"/>
        <v>1.4121344179224735</v>
      </c>
      <c r="CP9" s="391">
        <f t="shared" si="1"/>
        <v>1.4239022047384937</v>
      </c>
      <c r="CQ9" s="391">
        <f t="shared" si="1"/>
        <v>1.435768056444648</v>
      </c>
      <c r="CR9" s="391">
        <f t="shared" si="1"/>
        <v>1.4477327902483534</v>
      </c>
      <c r="CS9" s="391">
        <f t="shared" si="1"/>
        <v>1.4597972301670896</v>
      </c>
      <c r="CT9" s="391">
        <f t="shared" si="1"/>
        <v>1.4719622070851488</v>
      </c>
      <c r="CU9" s="391">
        <f t="shared" si="1"/>
        <v>1.4842285588108584</v>
      </c>
      <c r="CV9" s="391">
        <f t="shared" si="1"/>
        <v>1.4965971301342822</v>
      </c>
      <c r="CW9" s="391">
        <f t="shared" si="1"/>
        <v>1.5090687728854011</v>
      </c>
      <c r="CX9" s="391">
        <f t="shared" si="1"/>
        <v>1.5216443459927795</v>
      </c>
      <c r="CY9" s="391">
        <f t="shared" si="1"/>
        <v>1.5343247155427195</v>
      </c>
      <c r="CZ9" s="391">
        <f t="shared" si="1"/>
        <v>1.5471107548389085</v>
      </c>
      <c r="DA9" s="391">
        <f t="shared" si="1"/>
        <v>1.5600033444625661</v>
      </c>
      <c r="DB9" s="391">
        <f t="shared" si="1"/>
        <v>1.5730033723330876</v>
      </c>
      <c r="DC9" s="391">
        <f t="shared" si="1"/>
        <v>1.5861117337691968</v>
      </c>
      <c r="DD9" s="391">
        <f t="shared" si="1"/>
        <v>1.5993293315506067</v>
      </c>
      <c r="DE9" s="391">
        <f t="shared" si="1"/>
        <v>1.612657075980195</v>
      </c>
      <c r="DF9" s="391">
        <f t="shared" si="1"/>
        <v>1.6260958849466967</v>
      </c>
      <c r="DG9" s="391">
        <f t="shared" si="1"/>
        <v>1.6396466839879191</v>
      </c>
      <c r="DH9" s="391">
        <f t="shared" si="1"/>
        <v>1.6533104063544852</v>
      </c>
      <c r="DI9" s="391">
        <f t="shared" si="1"/>
        <v>1.6670879930741058</v>
      </c>
      <c r="DJ9" s="391">
        <f t="shared" si="1"/>
        <v>1.6809803930163902</v>
      </c>
      <c r="DK9" s="391">
        <f t="shared" si="1"/>
        <v>1.6949885629581933</v>
      </c>
      <c r="DL9" s="391">
        <f t="shared" si="1"/>
        <v>1.7091134676495117</v>
      </c>
      <c r="DM9" s="391">
        <f t="shared" si="1"/>
        <v>1.7233560798799241</v>
      </c>
      <c r="DN9" s="391">
        <f t="shared" si="1"/>
        <v>1.7377173805455903</v>
      </c>
      <c r="DO9" s="391">
        <f t="shared" si="1"/>
        <v>1.7521983587168035</v>
      </c>
      <c r="DP9" s="391">
        <f t="shared" si="1"/>
        <v>1.7668000117061102</v>
      </c>
      <c r="DQ9" s="391">
        <f t="shared" si="1"/>
        <v>1.7815233451369945</v>
      </c>
      <c r="DR9" s="391">
        <f t="shared" si="1"/>
        <v>1.796369373013136</v>
      </c>
    </row>
    <row r="10" spans="2:122" x14ac:dyDescent="0.3">
      <c r="B10" s="382" t="s">
        <v>435</v>
      </c>
      <c r="C10" s="391">
        <f>-IFERROR(IPMT($D$5/12,C8,$E$5,$C$5),0)</f>
        <v>1.1422178191666668</v>
      </c>
      <c r="D10" s="391">
        <f t="shared" ref="D10:BO10" si="2">-IFERROR(IPMT($D$5/12,D8,$E$5,$C$5),0)</f>
        <v>1.13664180834482</v>
      </c>
      <c r="E10" s="391">
        <f t="shared" si="2"/>
        <v>1.1310193307661252</v>
      </c>
      <c r="F10" s="391">
        <f t="shared" si="2"/>
        <v>1.1253499992076073</v>
      </c>
      <c r="G10" s="391">
        <f t="shared" si="2"/>
        <v>1.1196334232194354</v>
      </c>
      <c r="H10" s="391">
        <f t="shared" si="2"/>
        <v>1.1138692090980284</v>
      </c>
      <c r="I10" s="391">
        <f t="shared" si="2"/>
        <v>1.1080569598589431</v>
      </c>
      <c r="J10" s="391">
        <f t="shared" si="2"/>
        <v>1.1021962752095329</v>
      </c>
      <c r="K10" s="391">
        <f t="shared" si="2"/>
        <v>1.0962867515213766</v>
      </c>
      <c r="L10" s="391">
        <f t="shared" si="2"/>
        <v>1.090327981802486</v>
      </c>
      <c r="M10" s="391">
        <f t="shared" si="2"/>
        <v>1.0843195556692713</v>
      </c>
      <c r="N10" s="391">
        <f t="shared" si="2"/>
        <v>1.07826105931828</v>
      </c>
      <c r="O10" s="391">
        <f t="shared" si="2"/>
        <v>1.072152075497697</v>
      </c>
      <c r="P10" s="391">
        <f t="shared" si="2"/>
        <v>1.065992183478609</v>
      </c>
      <c r="Q10" s="391">
        <f t="shared" si="2"/>
        <v>1.0597809590260288</v>
      </c>
      <c r="R10" s="391">
        <f t="shared" si="2"/>
        <v>1.0535179743696768</v>
      </c>
      <c r="S10" s="391">
        <f t="shared" si="2"/>
        <v>1.047202798174522</v>
      </c>
      <c r="T10" s="391">
        <f t="shared" si="2"/>
        <v>1.0408349955110745</v>
      </c>
      <c r="U10" s="391">
        <f t="shared" si="2"/>
        <v>1.0344141278254313</v>
      </c>
      <c r="V10" s="391">
        <f t="shared" si="2"/>
        <v>1.0279397529090748</v>
      </c>
      <c r="W10" s="391">
        <f t="shared" si="2"/>
        <v>1.0214114248684147</v>
      </c>
      <c r="X10" s="391">
        <f t="shared" si="2"/>
        <v>1.0148286940940827</v>
      </c>
      <c r="Y10" s="391">
        <f t="shared" si="2"/>
        <v>1.0081911072299647</v>
      </c>
      <c r="Z10" s="391">
        <f t="shared" si="2"/>
        <v>1.0014982071419793</v>
      </c>
      <c r="AA10" s="391">
        <f t="shared" si="2"/>
        <v>0.99474953288659373</v>
      </c>
      <c r="AB10" s="391">
        <f t="shared" si="2"/>
        <v>0.98794461967907998</v>
      </c>
      <c r="AC10" s="391">
        <f t="shared" si="2"/>
        <v>0.98108299886150352</v>
      </c>
      <c r="AD10" s="391">
        <f t="shared" si="2"/>
        <v>0.97416419787044728</v>
      </c>
      <c r="AE10" s="391">
        <f t="shared" si="2"/>
        <v>0.96718774020446574</v>
      </c>
      <c r="AF10" s="391">
        <f t="shared" si="2"/>
        <v>0.9601531453912675</v>
      </c>
      <c r="AG10" s="391">
        <f t="shared" si="2"/>
        <v>0.9530599289546261</v>
      </c>
      <c r="AH10" s="391">
        <f t="shared" si="2"/>
        <v>0.94590760238101257</v>
      </c>
      <c r="AI10" s="391">
        <f t="shared" si="2"/>
        <v>0.93869567308595225</v>
      </c>
      <c r="AJ10" s="391">
        <f t="shared" si="2"/>
        <v>0.93142364438009995</v>
      </c>
      <c r="AK10" s="391">
        <f t="shared" si="2"/>
        <v>0.92409101543503192</v>
      </c>
      <c r="AL10" s="391">
        <f t="shared" si="2"/>
        <v>0.91669728124875516</v>
      </c>
      <c r="AM10" s="391">
        <f t="shared" si="2"/>
        <v>0.90924193261092601</v>
      </c>
      <c r="AN10" s="391">
        <f t="shared" si="2"/>
        <v>0.90172445606778195</v>
      </c>
      <c r="AO10" s="391">
        <f t="shared" si="2"/>
        <v>0.89414433388677794</v>
      </c>
      <c r="AP10" s="391">
        <f t="shared" si="2"/>
        <v>0.88650104402093233</v>
      </c>
      <c r="AQ10" s="391">
        <f t="shared" si="2"/>
        <v>0.87879406007287153</v>
      </c>
      <c r="AR10" s="391">
        <f t="shared" si="2"/>
        <v>0.87102285125857648</v>
      </c>
      <c r="AS10" s="391">
        <f t="shared" si="2"/>
        <v>0.86318688237082952</v>
      </c>
      <c r="AT10" s="391">
        <f t="shared" si="2"/>
        <v>0.85528561374235101</v>
      </c>
      <c r="AU10" s="391">
        <f t="shared" si="2"/>
        <v>0.84731850120863517</v>
      </c>
      <c r="AV10" s="391">
        <f t="shared" si="2"/>
        <v>0.8392849960704718</v>
      </c>
      <c r="AW10" s="391">
        <f t="shared" si="2"/>
        <v>0.83118454505615691</v>
      </c>
      <c r="AX10" s="391">
        <f t="shared" si="2"/>
        <v>0.82301659028338947</v>
      </c>
      <c r="AY10" s="391">
        <f t="shared" si="2"/>
        <v>0.81478056922084907</v>
      </c>
      <c r="AZ10" s="391">
        <f t="shared" si="2"/>
        <v>0.80647591464945401</v>
      </c>
      <c r="BA10" s="391">
        <f t="shared" si="2"/>
        <v>0.79810205462329764</v>
      </c>
      <c r="BB10" s="391">
        <f t="shared" si="2"/>
        <v>0.78965841243025625</v>
      </c>
      <c r="BC10" s="391">
        <f t="shared" si="2"/>
        <v>0.7811444065522728</v>
      </c>
      <c r="BD10" s="391">
        <f t="shared" si="2"/>
        <v>0.77255945062530651</v>
      </c>
      <c r="BE10" s="391">
        <f t="shared" si="2"/>
        <v>0.76390295339894876</v>
      </c>
      <c r="BF10" s="391">
        <f t="shared" si="2"/>
        <v>0.75517431869570462</v>
      </c>
      <c r="BG10" s="391">
        <f t="shared" si="2"/>
        <v>0.74637294536993348</v>
      </c>
      <c r="BH10" s="391">
        <f t="shared" si="2"/>
        <v>0.73749822726644754</v>
      </c>
      <c r="BI10" s="391">
        <f t="shared" si="2"/>
        <v>0.72854955317876591</v>
      </c>
      <c r="BJ10" s="391">
        <f t="shared" si="2"/>
        <v>0.71952630680702023</v>
      </c>
      <c r="BK10" s="391">
        <f t="shared" si="2"/>
        <v>0.71042786671550995</v>
      </c>
      <c r="BL10" s="391">
        <f t="shared" si="2"/>
        <v>0.70125360628990374</v>
      </c>
      <c r="BM10" s="391">
        <f t="shared" si="2"/>
        <v>0.69200289369408441</v>
      </c>
      <c r="BN10" s="391">
        <f t="shared" si="2"/>
        <v>0.682675091826633</v>
      </c>
      <c r="BO10" s="391">
        <f t="shared" si="2"/>
        <v>0.6732695582769529</v>
      </c>
      <c r="BP10" s="391">
        <f t="shared" ref="BP10:DR10" si="3">-IFERROR(IPMT($D$5/12,BP8,$E$5,$C$5),0)</f>
        <v>0.66378564528102546</v>
      </c>
      <c r="BQ10" s="391">
        <f t="shared" si="3"/>
        <v>0.65422269967679858</v>
      </c>
      <c r="BR10" s="391">
        <f t="shared" si="3"/>
        <v>0.64458006285920322</v>
      </c>
      <c r="BS10" s="391">
        <f t="shared" si="3"/>
        <v>0.63485707073479458</v>
      </c>
      <c r="BT10" s="391">
        <f t="shared" si="3"/>
        <v>0.62505305367601582</v>
      </c>
      <c r="BU10" s="391">
        <f t="shared" si="3"/>
        <v>0.61516733647508048</v>
      </c>
      <c r="BV10" s="391">
        <f t="shared" si="3"/>
        <v>0.6051992382974708</v>
      </c>
      <c r="BW10" s="391">
        <f t="shared" si="3"/>
        <v>0.59514807263504776</v>
      </c>
      <c r="BX10" s="391">
        <f t="shared" si="3"/>
        <v>0.58501314725877107</v>
      </c>
      <c r="BY10" s="391">
        <f t="shared" si="3"/>
        <v>0.57479376417102546</v>
      </c>
      <c r="BZ10" s="391">
        <f t="shared" si="3"/>
        <v>0.5644892195575486</v>
      </c>
      <c r="CA10" s="391">
        <f t="shared" si="3"/>
        <v>0.55409880373895948</v>
      </c>
      <c r="CB10" s="391">
        <f t="shared" si="3"/>
        <v>0.54362180112188208</v>
      </c>
      <c r="CC10" s="391">
        <f t="shared" si="3"/>
        <v>0.53305749014966242</v>
      </c>
      <c r="CD10" s="391">
        <f t="shared" si="3"/>
        <v>0.52240514325267418</v>
      </c>
      <c r="CE10" s="391">
        <f t="shared" si="3"/>
        <v>0.51166402679821121</v>
      </c>
      <c r="CF10" s="391">
        <f t="shared" si="3"/>
        <v>0.50083340103996088</v>
      </c>
      <c r="CG10" s="391">
        <f t="shared" si="3"/>
        <v>0.48991252006705838</v>
      </c>
      <c r="CH10" s="391">
        <f t="shared" si="3"/>
        <v>0.47890063175271524</v>
      </c>
      <c r="CI10" s="391">
        <f t="shared" si="3"/>
        <v>0.46779697770241918</v>
      </c>
      <c r="CJ10" s="391">
        <f t="shared" si="3"/>
        <v>0.45660079320170394</v>
      </c>
      <c r="CK10" s="391">
        <f t="shared" si="3"/>
        <v>0.44531130716348272</v>
      </c>
      <c r="CL10" s="391">
        <f t="shared" si="3"/>
        <v>0.433927742074943</v>
      </c>
      <c r="CM10" s="391">
        <f t="shared" si="3"/>
        <v>0.42244931394399887</v>
      </c>
      <c r="CN10" s="391">
        <f t="shared" si="3"/>
        <v>0.41087523224529687</v>
      </c>
      <c r="CO10" s="391">
        <f t="shared" si="3"/>
        <v>0.39920469986577223</v>
      </c>
      <c r="CP10" s="391">
        <f t="shared" si="3"/>
        <v>0.38743691304975164</v>
      </c>
      <c r="CQ10" s="391">
        <f t="shared" si="3"/>
        <v>0.37557106134359752</v>
      </c>
      <c r="CR10" s="391">
        <f t="shared" si="3"/>
        <v>0.36360632753989208</v>
      </c>
      <c r="CS10" s="391">
        <f t="shared" si="3"/>
        <v>0.35154188762115579</v>
      </c>
      <c r="CT10" s="391">
        <f t="shared" si="3"/>
        <v>0.33937691070309678</v>
      </c>
      <c r="CU10" s="391">
        <f t="shared" si="3"/>
        <v>0.32711055897738717</v>
      </c>
      <c r="CV10" s="391">
        <f t="shared" si="3"/>
        <v>0.31474198765396338</v>
      </c>
      <c r="CW10" s="391">
        <f t="shared" si="3"/>
        <v>0.30227034490284432</v>
      </c>
      <c r="CX10" s="391">
        <f t="shared" si="3"/>
        <v>0.28969477179546599</v>
      </c>
      <c r="CY10" s="391">
        <f t="shared" si="3"/>
        <v>0.2770144022455262</v>
      </c>
      <c r="CZ10" s="391">
        <f t="shared" si="3"/>
        <v>0.26422836294933683</v>
      </c>
      <c r="DA10" s="391">
        <f t="shared" si="3"/>
        <v>0.2513357733256793</v>
      </c>
      <c r="DB10" s="391">
        <f t="shared" si="3"/>
        <v>0.23833574545515787</v>
      </c>
      <c r="DC10" s="391">
        <f t="shared" si="3"/>
        <v>0.22522738401904882</v>
      </c>
      <c r="DD10" s="391">
        <f t="shared" si="3"/>
        <v>0.21200978623763883</v>
      </c>
      <c r="DE10" s="391">
        <f t="shared" si="3"/>
        <v>0.19868204180805044</v>
      </c>
      <c r="DF10" s="391">
        <f t="shared" si="3"/>
        <v>0.18524323284154884</v>
      </c>
      <c r="DG10" s="391">
        <f t="shared" si="3"/>
        <v>0.17169243380032637</v>
      </c>
      <c r="DH10" s="391">
        <f t="shared" si="3"/>
        <v>0.15802871143376035</v>
      </c>
      <c r="DI10" s="391">
        <f t="shared" si="3"/>
        <v>0.14425112471413967</v>
      </c>
      <c r="DJ10" s="391">
        <f t="shared" si="3"/>
        <v>0.13035872477185545</v>
      </c>
      <c r="DK10" s="391">
        <f t="shared" si="3"/>
        <v>0.11635055483005217</v>
      </c>
      <c r="DL10" s="391">
        <f t="shared" si="3"/>
        <v>0.10222565013873391</v>
      </c>
      <c r="DM10" s="391">
        <f t="shared" si="3"/>
        <v>8.7983037908321307E-2</v>
      </c>
      <c r="DN10" s="391">
        <f t="shared" si="3"/>
        <v>7.3621737242655291E-2</v>
      </c>
      <c r="DO10" s="391">
        <f t="shared" si="3"/>
        <v>5.9140759071442027E-2</v>
      </c>
      <c r="DP10" s="391">
        <f t="shared" si="3"/>
        <v>4.4539106082135335E-2</v>
      </c>
      <c r="DQ10" s="391">
        <f t="shared" si="3"/>
        <v>2.9815772651251085E-2</v>
      </c>
      <c r="DR10" s="391">
        <f t="shared" si="3"/>
        <v>1.4969744775109466E-2</v>
      </c>
    </row>
    <row r="11" spans="2:122" x14ac:dyDescent="0.3">
      <c r="B11" s="382" t="s">
        <v>436</v>
      </c>
      <c r="C11" s="392">
        <f t="shared" ref="C11:BN11" si="4">C9+C10</f>
        <v>1.8113391177882456</v>
      </c>
      <c r="D11" s="392">
        <f t="shared" si="4"/>
        <v>1.8113391177882452</v>
      </c>
      <c r="E11" s="392">
        <f t="shared" si="4"/>
        <v>1.8113391177882456</v>
      </c>
      <c r="F11" s="392">
        <f t="shared" si="4"/>
        <v>1.8113391177882454</v>
      </c>
      <c r="G11" s="392">
        <f t="shared" si="4"/>
        <v>1.8113391177882456</v>
      </c>
      <c r="H11" s="392">
        <f t="shared" si="4"/>
        <v>1.8113391177882452</v>
      </c>
      <c r="I11" s="392">
        <f t="shared" si="4"/>
        <v>1.8113391177882452</v>
      </c>
      <c r="J11" s="392">
        <f t="shared" si="4"/>
        <v>1.8113391177882456</v>
      </c>
      <c r="K11" s="392">
        <f t="shared" si="4"/>
        <v>1.8113391177882454</v>
      </c>
      <c r="L11" s="392">
        <f t="shared" si="4"/>
        <v>1.8113391177882454</v>
      </c>
      <c r="M11" s="392">
        <f t="shared" si="4"/>
        <v>1.8113391177882454</v>
      </c>
      <c r="N11" s="392">
        <f t="shared" si="4"/>
        <v>1.8113391177882456</v>
      </c>
      <c r="O11" s="392">
        <f t="shared" si="4"/>
        <v>1.8113391177882456</v>
      </c>
      <c r="P11" s="392">
        <f t="shared" si="4"/>
        <v>1.8113391177882456</v>
      </c>
      <c r="Q11" s="392">
        <f t="shared" si="4"/>
        <v>1.8113391177882456</v>
      </c>
      <c r="R11" s="392">
        <f t="shared" si="4"/>
        <v>1.8113391177882454</v>
      </c>
      <c r="S11" s="392">
        <f t="shared" si="4"/>
        <v>1.8113391177882452</v>
      </c>
      <c r="T11" s="392">
        <f t="shared" si="4"/>
        <v>1.8113391177882456</v>
      </c>
      <c r="U11" s="392">
        <f t="shared" si="4"/>
        <v>1.8113391177882452</v>
      </c>
      <c r="V11" s="392">
        <f t="shared" si="4"/>
        <v>1.8113391177882456</v>
      </c>
      <c r="W11" s="392">
        <f t="shared" si="4"/>
        <v>1.8113391177882454</v>
      </c>
      <c r="X11" s="392">
        <f t="shared" si="4"/>
        <v>1.8113391177882452</v>
      </c>
      <c r="Y11" s="392">
        <f t="shared" si="4"/>
        <v>1.8113391177882454</v>
      </c>
      <c r="Z11" s="392">
        <f t="shared" si="4"/>
        <v>1.8113391177882456</v>
      </c>
      <c r="AA11" s="392">
        <f t="shared" si="4"/>
        <v>1.8113391177882456</v>
      </c>
      <c r="AB11" s="392">
        <f t="shared" si="4"/>
        <v>1.8113391177882456</v>
      </c>
      <c r="AC11" s="392">
        <f t="shared" si="4"/>
        <v>1.8113391177882456</v>
      </c>
      <c r="AD11" s="392">
        <f t="shared" si="4"/>
        <v>1.8113391177882454</v>
      </c>
      <c r="AE11" s="392">
        <f t="shared" si="4"/>
        <v>1.8113391177882456</v>
      </c>
      <c r="AF11" s="392">
        <f t="shared" si="4"/>
        <v>1.8113391177882454</v>
      </c>
      <c r="AG11" s="392">
        <f t="shared" si="4"/>
        <v>1.8113391177882456</v>
      </c>
      <c r="AH11" s="392">
        <f t="shared" si="4"/>
        <v>1.8113391177882456</v>
      </c>
      <c r="AI11" s="392">
        <f t="shared" si="4"/>
        <v>1.8113391177882456</v>
      </c>
      <c r="AJ11" s="392">
        <f t="shared" si="4"/>
        <v>1.8113391177882456</v>
      </c>
      <c r="AK11" s="392">
        <f t="shared" si="4"/>
        <v>1.8113391177882454</v>
      </c>
      <c r="AL11" s="392">
        <f t="shared" si="4"/>
        <v>1.8113391177882456</v>
      </c>
      <c r="AM11" s="392">
        <f t="shared" si="4"/>
        <v>1.8113391177882456</v>
      </c>
      <c r="AN11" s="392">
        <f t="shared" si="4"/>
        <v>1.8113391177882456</v>
      </c>
      <c r="AO11" s="392">
        <f t="shared" si="4"/>
        <v>1.8113391177882456</v>
      </c>
      <c r="AP11" s="392">
        <f t="shared" si="4"/>
        <v>1.8113391177882456</v>
      </c>
      <c r="AQ11" s="392">
        <f t="shared" si="4"/>
        <v>1.8113391177882456</v>
      </c>
      <c r="AR11" s="392">
        <f t="shared" si="4"/>
        <v>1.8113391177882452</v>
      </c>
      <c r="AS11" s="392">
        <f t="shared" si="4"/>
        <v>1.8113391177882456</v>
      </c>
      <c r="AT11" s="392">
        <f t="shared" si="4"/>
        <v>1.8113391177882456</v>
      </c>
      <c r="AU11" s="392">
        <f t="shared" si="4"/>
        <v>1.8113391177882456</v>
      </c>
      <c r="AV11" s="392">
        <f t="shared" si="4"/>
        <v>1.8113391177882456</v>
      </c>
      <c r="AW11" s="392">
        <f t="shared" si="4"/>
        <v>1.8113391177882456</v>
      </c>
      <c r="AX11" s="392">
        <f t="shared" si="4"/>
        <v>1.8113391177882456</v>
      </c>
      <c r="AY11" s="392">
        <f t="shared" si="4"/>
        <v>1.8113391177882456</v>
      </c>
      <c r="AZ11" s="392">
        <f t="shared" si="4"/>
        <v>1.8113391177882454</v>
      </c>
      <c r="BA11" s="392">
        <f t="shared" si="4"/>
        <v>1.8113391177882456</v>
      </c>
      <c r="BB11" s="392">
        <f t="shared" si="4"/>
        <v>1.8113391177882456</v>
      </c>
      <c r="BC11" s="392">
        <f t="shared" si="4"/>
        <v>1.8113391177882452</v>
      </c>
      <c r="BD11" s="392">
        <f t="shared" si="4"/>
        <v>1.8113391177882456</v>
      </c>
      <c r="BE11" s="392">
        <f t="shared" si="4"/>
        <v>1.8113391177882456</v>
      </c>
      <c r="BF11" s="392">
        <f t="shared" si="4"/>
        <v>1.8113391177882456</v>
      </c>
      <c r="BG11" s="392">
        <f t="shared" si="4"/>
        <v>1.8113391177882454</v>
      </c>
      <c r="BH11" s="392">
        <f t="shared" si="4"/>
        <v>1.8113391177882456</v>
      </c>
      <c r="BI11" s="392">
        <f t="shared" si="4"/>
        <v>1.8113391177882456</v>
      </c>
      <c r="BJ11" s="392">
        <f t="shared" si="4"/>
        <v>1.8113391177882456</v>
      </c>
      <c r="BK11" s="392">
        <f t="shared" si="4"/>
        <v>1.8113391177882454</v>
      </c>
      <c r="BL11" s="392">
        <f t="shared" si="4"/>
        <v>1.8113391177882454</v>
      </c>
      <c r="BM11" s="392">
        <f t="shared" si="4"/>
        <v>1.8113391177882456</v>
      </c>
      <c r="BN11" s="392">
        <f t="shared" si="4"/>
        <v>1.8113391177882456</v>
      </c>
      <c r="BO11" s="392">
        <f t="shared" ref="BO11:DR11" si="5">BO9+BO10</f>
        <v>1.8113391177882456</v>
      </c>
      <c r="BP11" s="392">
        <f t="shared" si="5"/>
        <v>1.8113391177882456</v>
      </c>
      <c r="BQ11" s="392">
        <f t="shared" si="5"/>
        <v>1.8113391177882454</v>
      </c>
      <c r="BR11" s="392">
        <f t="shared" si="5"/>
        <v>1.8113391177882456</v>
      </c>
      <c r="BS11" s="392">
        <f t="shared" si="5"/>
        <v>1.8113391177882456</v>
      </c>
      <c r="BT11" s="392">
        <f t="shared" si="5"/>
        <v>1.8113391177882456</v>
      </c>
      <c r="BU11" s="392">
        <f t="shared" si="5"/>
        <v>1.8113391177882454</v>
      </c>
      <c r="BV11" s="392">
        <f t="shared" si="5"/>
        <v>1.8113391177882456</v>
      </c>
      <c r="BW11" s="392">
        <f t="shared" si="5"/>
        <v>1.8113391177882456</v>
      </c>
      <c r="BX11" s="392">
        <f t="shared" si="5"/>
        <v>1.8113391177882456</v>
      </c>
      <c r="BY11" s="392">
        <f t="shared" si="5"/>
        <v>1.8113391177882454</v>
      </c>
      <c r="BZ11" s="392">
        <f t="shared" si="5"/>
        <v>1.8113391177882454</v>
      </c>
      <c r="CA11" s="392">
        <f t="shared" si="5"/>
        <v>1.8113391177882456</v>
      </c>
      <c r="CB11" s="392">
        <f t="shared" si="5"/>
        <v>1.8113391177882456</v>
      </c>
      <c r="CC11" s="392">
        <f t="shared" si="5"/>
        <v>1.8113391177882456</v>
      </c>
      <c r="CD11" s="392">
        <f t="shared" si="5"/>
        <v>1.8113391177882454</v>
      </c>
      <c r="CE11" s="392">
        <f t="shared" si="5"/>
        <v>1.8113391177882456</v>
      </c>
      <c r="CF11" s="392">
        <f t="shared" si="5"/>
        <v>1.8113391177882456</v>
      </c>
      <c r="CG11" s="392">
        <f t="shared" si="5"/>
        <v>1.8113391177882454</v>
      </c>
      <c r="CH11" s="392">
        <f t="shared" si="5"/>
        <v>1.8113391177882456</v>
      </c>
      <c r="CI11" s="392">
        <f t="shared" si="5"/>
        <v>1.8113391177882456</v>
      </c>
      <c r="CJ11" s="392">
        <f t="shared" si="5"/>
        <v>1.8113391177882454</v>
      </c>
      <c r="CK11" s="392">
        <f t="shared" si="5"/>
        <v>1.8113391177882454</v>
      </c>
      <c r="CL11" s="392">
        <f t="shared" si="5"/>
        <v>1.8113391177882454</v>
      </c>
      <c r="CM11" s="392">
        <f t="shared" si="5"/>
        <v>1.8113391177882456</v>
      </c>
      <c r="CN11" s="392">
        <f t="shared" si="5"/>
        <v>1.8113391177882456</v>
      </c>
      <c r="CO11" s="392">
        <f t="shared" si="5"/>
        <v>1.8113391177882456</v>
      </c>
      <c r="CP11" s="392">
        <f t="shared" si="5"/>
        <v>1.8113391177882454</v>
      </c>
      <c r="CQ11" s="392">
        <f t="shared" si="5"/>
        <v>1.8113391177882456</v>
      </c>
      <c r="CR11" s="392">
        <f t="shared" si="5"/>
        <v>1.8113391177882456</v>
      </c>
      <c r="CS11" s="392">
        <f t="shared" si="5"/>
        <v>1.8113391177882454</v>
      </c>
      <c r="CT11" s="392">
        <f t="shared" si="5"/>
        <v>1.8113391177882456</v>
      </c>
      <c r="CU11" s="392">
        <f t="shared" si="5"/>
        <v>1.8113391177882456</v>
      </c>
      <c r="CV11" s="392">
        <f t="shared" si="5"/>
        <v>1.8113391177882456</v>
      </c>
      <c r="CW11" s="392">
        <f t="shared" si="5"/>
        <v>1.8113391177882454</v>
      </c>
      <c r="CX11" s="392">
        <f t="shared" si="5"/>
        <v>1.8113391177882456</v>
      </c>
      <c r="CY11" s="392">
        <f t="shared" si="5"/>
        <v>1.8113391177882456</v>
      </c>
      <c r="CZ11" s="392">
        <f t="shared" si="5"/>
        <v>1.8113391177882452</v>
      </c>
      <c r="DA11" s="392">
        <f t="shared" si="5"/>
        <v>1.8113391177882454</v>
      </c>
      <c r="DB11" s="392">
        <f t="shared" si="5"/>
        <v>1.8113391177882454</v>
      </c>
      <c r="DC11" s="392">
        <f t="shared" si="5"/>
        <v>1.8113391177882456</v>
      </c>
      <c r="DD11" s="392">
        <f t="shared" si="5"/>
        <v>1.8113391177882456</v>
      </c>
      <c r="DE11" s="392">
        <f t="shared" si="5"/>
        <v>1.8113391177882454</v>
      </c>
      <c r="DF11" s="392">
        <f t="shared" si="5"/>
        <v>1.8113391177882454</v>
      </c>
      <c r="DG11" s="392">
        <f t="shared" si="5"/>
        <v>1.8113391177882454</v>
      </c>
      <c r="DH11" s="392">
        <f t="shared" si="5"/>
        <v>1.8113391177882456</v>
      </c>
      <c r="DI11" s="392">
        <f t="shared" si="5"/>
        <v>1.8113391177882454</v>
      </c>
      <c r="DJ11" s="392">
        <f t="shared" si="5"/>
        <v>1.8113391177882456</v>
      </c>
      <c r="DK11" s="392">
        <f t="shared" si="5"/>
        <v>1.8113391177882454</v>
      </c>
      <c r="DL11" s="392">
        <f t="shared" si="5"/>
        <v>1.8113391177882456</v>
      </c>
      <c r="DM11" s="392">
        <f t="shared" si="5"/>
        <v>1.8113391177882454</v>
      </c>
      <c r="DN11" s="392">
        <f t="shared" si="5"/>
        <v>1.8113391177882456</v>
      </c>
      <c r="DO11" s="392">
        <f t="shared" si="5"/>
        <v>1.8113391177882456</v>
      </c>
      <c r="DP11" s="392">
        <f t="shared" si="5"/>
        <v>1.8113391177882456</v>
      </c>
      <c r="DQ11" s="392">
        <f t="shared" si="5"/>
        <v>1.8113391177882456</v>
      </c>
      <c r="DR11" s="392">
        <f t="shared" si="5"/>
        <v>1.8113391177882454</v>
      </c>
    </row>
    <row r="12" spans="2:122" x14ac:dyDescent="0.3">
      <c r="B12" s="382" t="s">
        <v>187</v>
      </c>
      <c r="C12" s="391">
        <f>IF(C7=F5,C5-C9,0)</f>
        <v>136.39701700137843</v>
      </c>
      <c r="D12" s="391">
        <f>IF(D7=$F$5,$C$5-D9,C12-D9)</f>
        <v>135.72231969193501</v>
      </c>
      <c r="E12" s="391">
        <f t="shared" ref="E12:BP12" si="6">IF(E7=$F$5,$C$5-E9,D12-E9)</f>
        <v>135.0419999049129</v>
      </c>
      <c r="F12" s="391">
        <f t="shared" si="6"/>
        <v>134.35601078633226</v>
      </c>
      <c r="G12" s="391">
        <f t="shared" si="6"/>
        <v>133.66430509176345</v>
      </c>
      <c r="H12" s="391">
        <f t="shared" si="6"/>
        <v>132.96683518307324</v>
      </c>
      <c r="I12" s="391">
        <f t="shared" si="6"/>
        <v>132.26355302514395</v>
      </c>
      <c r="J12" s="391">
        <f t="shared" si="6"/>
        <v>131.55441018256525</v>
      </c>
      <c r="K12" s="391">
        <f t="shared" si="6"/>
        <v>130.83935781629839</v>
      </c>
      <c r="L12" s="391">
        <f t="shared" si="6"/>
        <v>130.11834668031264</v>
      </c>
      <c r="M12" s="391">
        <f t="shared" si="6"/>
        <v>129.39132711819366</v>
      </c>
      <c r="N12" s="391">
        <f t="shared" si="6"/>
        <v>128.65824905972369</v>
      </c>
      <c r="O12" s="391">
        <f t="shared" si="6"/>
        <v>127.91906201743313</v>
      </c>
      <c r="P12" s="391">
        <f t="shared" si="6"/>
        <v>127.1737150831235</v>
      </c>
      <c r="Q12" s="391">
        <f t="shared" si="6"/>
        <v>126.42215692436127</v>
      </c>
      <c r="R12" s="391">
        <f t="shared" si="6"/>
        <v>125.66433578094271</v>
      </c>
      <c r="S12" s="391">
        <f t="shared" si="6"/>
        <v>124.90019946132898</v>
      </c>
      <c r="T12" s="391">
        <f t="shared" si="6"/>
        <v>124.12969533905181</v>
      </c>
      <c r="U12" s="391">
        <f t="shared" si="6"/>
        <v>123.352770349089</v>
      </c>
      <c r="V12" s="391">
        <f t="shared" si="6"/>
        <v>122.56937098420983</v>
      </c>
      <c r="W12" s="391">
        <f t="shared" si="6"/>
        <v>121.77944329128999</v>
      </c>
      <c r="X12" s="391">
        <f t="shared" si="6"/>
        <v>120.98293286759584</v>
      </c>
      <c r="Y12" s="391">
        <f t="shared" si="6"/>
        <v>120.17978485703756</v>
      </c>
      <c r="Z12" s="391">
        <f t="shared" si="6"/>
        <v>119.36994394639129</v>
      </c>
      <c r="AA12" s="391">
        <f t="shared" si="6"/>
        <v>118.55335436148964</v>
      </c>
      <c r="AB12" s="391">
        <f t="shared" si="6"/>
        <v>117.72995986338047</v>
      </c>
      <c r="AC12" s="391">
        <f t="shared" si="6"/>
        <v>116.89970374445373</v>
      </c>
      <c r="AD12" s="391">
        <f t="shared" si="6"/>
        <v>116.06252882453593</v>
      </c>
      <c r="AE12" s="391">
        <f t="shared" si="6"/>
        <v>115.21837744695215</v>
      </c>
      <c r="AF12" s="391">
        <f t="shared" si="6"/>
        <v>114.36719147455517</v>
      </c>
      <c r="AG12" s="391">
        <f t="shared" si="6"/>
        <v>113.50891228572155</v>
      </c>
      <c r="AH12" s="391">
        <f t="shared" si="6"/>
        <v>112.64348077031431</v>
      </c>
      <c r="AI12" s="391">
        <f t="shared" si="6"/>
        <v>111.77083732561202</v>
      </c>
      <c r="AJ12" s="391">
        <f t="shared" si="6"/>
        <v>110.89092185220387</v>
      </c>
      <c r="AK12" s="391">
        <f t="shared" si="6"/>
        <v>110.00367374985066</v>
      </c>
      <c r="AL12" s="391">
        <f t="shared" si="6"/>
        <v>109.10903191331117</v>
      </c>
      <c r="AM12" s="391">
        <f t="shared" si="6"/>
        <v>108.20693472813385</v>
      </c>
      <c r="AN12" s="391">
        <f t="shared" si="6"/>
        <v>107.29732006641338</v>
      </c>
      <c r="AO12" s="391">
        <f t="shared" si="6"/>
        <v>106.38012528251191</v>
      </c>
      <c r="AP12" s="391">
        <f t="shared" si="6"/>
        <v>105.45528720874459</v>
      </c>
      <c r="AQ12" s="391">
        <f t="shared" si="6"/>
        <v>104.52274215102922</v>
      </c>
      <c r="AR12" s="391">
        <f t="shared" si="6"/>
        <v>103.58242588449956</v>
      </c>
      <c r="AS12" s="391">
        <f t="shared" si="6"/>
        <v>102.63427364908215</v>
      </c>
      <c r="AT12" s="391">
        <f t="shared" si="6"/>
        <v>101.67822014503625</v>
      </c>
      <c r="AU12" s="391">
        <f t="shared" si="6"/>
        <v>100.71419952845663</v>
      </c>
      <c r="AV12" s="391">
        <f t="shared" si="6"/>
        <v>99.742145406738857</v>
      </c>
      <c r="AW12" s="391">
        <f t="shared" si="6"/>
        <v>98.761990834006767</v>
      </c>
      <c r="AX12" s="391">
        <f t="shared" si="6"/>
        <v>97.773668306501904</v>
      </c>
      <c r="AY12" s="391">
        <f t="shared" si="6"/>
        <v>96.777109757934511</v>
      </c>
      <c r="AZ12" s="391">
        <f t="shared" si="6"/>
        <v>95.772246554795714</v>
      </c>
      <c r="BA12" s="391">
        <f t="shared" si="6"/>
        <v>94.759009491630763</v>
      </c>
      <c r="BB12" s="391">
        <f t="shared" si="6"/>
        <v>93.737328786272769</v>
      </c>
      <c r="BC12" s="391">
        <f t="shared" si="6"/>
        <v>92.707134075036791</v>
      </c>
      <c r="BD12" s="391">
        <f t="shared" si="6"/>
        <v>91.668354407873849</v>
      </c>
      <c r="BE12" s="391">
        <f t="shared" si="6"/>
        <v>90.620918243484553</v>
      </c>
      <c r="BF12" s="391">
        <f t="shared" si="6"/>
        <v>89.564753444392011</v>
      </c>
      <c r="BG12" s="391">
        <f t="shared" si="6"/>
        <v>88.499787271973702</v>
      </c>
      <c r="BH12" s="391">
        <f t="shared" si="6"/>
        <v>87.425946381451908</v>
      </c>
      <c r="BI12" s="391">
        <f t="shared" si="6"/>
        <v>86.343156816842423</v>
      </c>
      <c r="BJ12" s="391">
        <f t="shared" si="6"/>
        <v>85.251344005861199</v>
      </c>
      <c r="BK12" s="391">
        <f t="shared" si="6"/>
        <v>84.150432754788469</v>
      </c>
      <c r="BL12" s="391">
        <f t="shared" si="6"/>
        <v>83.040347243290128</v>
      </c>
      <c r="BM12" s="391">
        <f t="shared" si="6"/>
        <v>81.921011019195973</v>
      </c>
      <c r="BN12" s="391">
        <f t="shared" si="6"/>
        <v>80.792346993234361</v>
      </c>
      <c r="BO12" s="391">
        <f t="shared" si="6"/>
        <v>79.654277433723067</v>
      </c>
      <c r="BP12" s="391">
        <f t="shared" si="6"/>
        <v>78.50672396121584</v>
      </c>
      <c r="BQ12" s="391">
        <f t="shared" ref="BQ12:DR12" si="7">IF(BQ7=$F$5,$C$5-BQ9,BP12-BQ9)</f>
        <v>77.349607543104398</v>
      </c>
      <c r="BR12" s="391">
        <f t="shared" si="7"/>
        <v>76.182848488175352</v>
      </c>
      <c r="BS12" s="391">
        <f t="shared" si="7"/>
        <v>75.006366441121898</v>
      </c>
      <c r="BT12" s="391">
        <f t="shared" si="7"/>
        <v>73.820080377009674</v>
      </c>
      <c r="BU12" s="391">
        <f t="shared" si="7"/>
        <v>72.623908595696506</v>
      </c>
      <c r="BV12" s="391">
        <f t="shared" si="7"/>
        <v>71.417768716205728</v>
      </c>
      <c r="BW12" s="391">
        <f t="shared" si="7"/>
        <v>70.201577671052533</v>
      </c>
      <c r="BX12" s="391">
        <f t="shared" si="7"/>
        <v>68.97525170052306</v>
      </c>
      <c r="BY12" s="391">
        <f t="shared" si="7"/>
        <v>67.738706346905843</v>
      </c>
      <c r="BZ12" s="391">
        <f t="shared" si="7"/>
        <v>66.491856448675151</v>
      </c>
      <c r="CA12" s="391">
        <f t="shared" si="7"/>
        <v>65.234616134625867</v>
      </c>
      <c r="CB12" s="391">
        <f t="shared" si="7"/>
        <v>63.966898817959503</v>
      </c>
      <c r="CC12" s="391">
        <f t="shared" si="7"/>
        <v>62.688617190320919</v>
      </c>
      <c r="CD12" s="391">
        <f t="shared" si="7"/>
        <v>61.399683215785345</v>
      </c>
      <c r="CE12" s="391">
        <f t="shared" si="7"/>
        <v>60.100008124795309</v>
      </c>
      <c r="CF12" s="391">
        <f t="shared" si="7"/>
        <v>58.789502408047028</v>
      </c>
      <c r="CG12" s="391">
        <f t="shared" si="7"/>
        <v>57.468075810325843</v>
      </c>
      <c r="CH12" s="391">
        <f t="shared" si="7"/>
        <v>56.135637324290315</v>
      </c>
      <c r="CI12" s="391">
        <f t="shared" si="7"/>
        <v>54.792095184204491</v>
      </c>
      <c r="CJ12" s="391">
        <f t="shared" si="7"/>
        <v>53.43735685961795</v>
      </c>
      <c r="CK12" s="391">
        <f t="shared" si="7"/>
        <v>52.071329048993185</v>
      </c>
      <c r="CL12" s="391">
        <f t="shared" si="7"/>
        <v>50.693917673279884</v>
      </c>
      <c r="CM12" s="391">
        <f t="shared" si="7"/>
        <v>49.305027869435641</v>
      </c>
      <c r="CN12" s="391">
        <f t="shared" si="7"/>
        <v>47.904563983892693</v>
      </c>
      <c r="CO12" s="391">
        <f t="shared" si="7"/>
        <v>46.49242956597022</v>
      </c>
      <c r="CP12" s="391">
        <f t="shared" si="7"/>
        <v>45.068527361231723</v>
      </c>
      <c r="CQ12" s="391">
        <f t="shared" si="7"/>
        <v>43.632759304787072</v>
      </c>
      <c r="CR12" s="391">
        <f t="shared" si="7"/>
        <v>42.18502651453872</v>
      </c>
      <c r="CS12" s="391">
        <f t="shared" si="7"/>
        <v>40.725229284371629</v>
      </c>
      <c r="CT12" s="391">
        <f t="shared" si="7"/>
        <v>39.25326707728648</v>
      </c>
      <c r="CU12" s="391">
        <f t="shared" si="7"/>
        <v>37.769038518475625</v>
      </c>
      <c r="CV12" s="391">
        <f t="shared" si="7"/>
        <v>36.272441388341342</v>
      </c>
      <c r="CW12" s="391">
        <f t="shared" si="7"/>
        <v>34.763372615455943</v>
      </c>
      <c r="CX12" s="391">
        <f t="shared" si="7"/>
        <v>33.241728269463167</v>
      </c>
      <c r="CY12" s="391">
        <f t="shared" si="7"/>
        <v>31.707403553920447</v>
      </c>
      <c r="CZ12" s="391">
        <f t="shared" si="7"/>
        <v>30.160292799081539</v>
      </c>
      <c r="DA12" s="391">
        <f t="shared" si="7"/>
        <v>28.600289454618974</v>
      </c>
      <c r="DB12" s="391">
        <f t="shared" si="7"/>
        <v>27.027286082285887</v>
      </c>
      <c r="DC12" s="391">
        <f t="shared" si="7"/>
        <v>25.441174348516689</v>
      </c>
      <c r="DD12" s="391">
        <f t="shared" si="7"/>
        <v>23.841845016966083</v>
      </c>
      <c r="DE12" s="391">
        <f t="shared" si="7"/>
        <v>22.229187940985888</v>
      </c>
      <c r="DF12" s="391">
        <f t="shared" si="7"/>
        <v>20.603092056039191</v>
      </c>
      <c r="DG12" s="391">
        <f t="shared" si="7"/>
        <v>18.963445372051272</v>
      </c>
      <c r="DH12" s="391">
        <f t="shared" si="7"/>
        <v>17.310134965696786</v>
      </c>
      <c r="DI12" s="391">
        <f t="shared" si="7"/>
        <v>15.643046972622681</v>
      </c>
      <c r="DJ12" s="391">
        <f t="shared" si="7"/>
        <v>13.96206657960629</v>
      </c>
      <c r="DK12" s="391">
        <f t="shared" si="7"/>
        <v>12.267078016648096</v>
      </c>
      <c r="DL12" s="391">
        <f t="shared" si="7"/>
        <v>10.557964548998584</v>
      </c>
      <c r="DM12" s="391">
        <f t="shared" si="7"/>
        <v>8.8346084691186597</v>
      </c>
      <c r="DN12" s="391">
        <f t="shared" si="7"/>
        <v>7.0968910885730692</v>
      </c>
      <c r="DO12" s="391">
        <f t="shared" si="7"/>
        <v>5.3446927298562654</v>
      </c>
      <c r="DP12" s="391">
        <f t="shared" si="7"/>
        <v>3.5778927181501552</v>
      </c>
      <c r="DQ12" s="391">
        <f t="shared" si="7"/>
        <v>1.7963693730131607</v>
      </c>
      <c r="DR12" s="391">
        <f t="shared" si="7"/>
        <v>2.4646951146678475E-14</v>
      </c>
    </row>
    <row r="13" spans="2:122" x14ac:dyDescent="0.3">
      <c r="B13" s="382" t="s">
        <v>437</v>
      </c>
      <c r="C13" s="391">
        <f>IF(C12=0,0,SUM(D9:O9))</f>
        <v>8.4779549839453416</v>
      </c>
      <c r="D13" s="391">
        <f>IF(D12=0,0,SUM(E9:P9))</f>
        <v>8.5486046088115533</v>
      </c>
      <c r="E13" s="391">
        <f t="shared" ref="E13" si="8">IF(E12=0,0,SUM(F9:Q9))</f>
        <v>8.619842980551649</v>
      </c>
      <c r="F13" s="391">
        <f t="shared" ref="F13" si="9">IF(F12=0,0,SUM(G9:R9))</f>
        <v>8.6916750053895804</v>
      </c>
      <c r="G13" s="391">
        <f t="shared" ref="G13" si="10">IF(G12=0,0,SUM(H9:S9))</f>
        <v>8.7641056304344929</v>
      </c>
      <c r="H13" s="391">
        <f t="shared" ref="H13" si="11">IF(H12=0,0,SUM(I9:T9))</f>
        <v>8.837139844021447</v>
      </c>
      <c r="I13" s="391">
        <f t="shared" ref="I13" si="12">IF(I12=0,0,SUM(J9:U9))</f>
        <v>8.9107826760549589</v>
      </c>
      <c r="J13" s="391">
        <f t="shared" ref="J13" si="13">IF(J12=0,0,SUM(K9:V9))</f>
        <v>8.9850391983554196</v>
      </c>
      <c r="K13" s="391">
        <f t="shared" ref="K13" si="14">IF(K12=0,0,SUM(L9:W9))</f>
        <v>9.0599145250083808</v>
      </c>
      <c r="L13" s="391">
        <f t="shared" ref="L13" si="15">IF(L12=0,0,SUM(M9:X9))</f>
        <v>9.1354138127167825</v>
      </c>
      <c r="M13" s="391">
        <f t="shared" ref="M13" si="16">IF(M12=0,0,SUM(N9:Y9))</f>
        <v>9.2115422611560902</v>
      </c>
      <c r="N13" s="391">
        <f t="shared" ref="N13" si="17">IF(N12=0,0,SUM(O9:Z9))</f>
        <v>9.2883051133323882</v>
      </c>
      <c r="O13" s="391">
        <f t="shared" ref="O13" si="18">IF(O12=0,0,SUM(P9:AA9))</f>
        <v>9.365707655943492</v>
      </c>
      <c r="P13" s="391">
        <f t="shared" ref="P13" si="19">IF(P12=0,0,SUM(Q9:AB9))</f>
        <v>9.4437552197430215</v>
      </c>
      <c r="Q13" s="391">
        <f t="shared" ref="Q13" si="20">IF(Q12=0,0,SUM(R9:AC9))</f>
        <v>9.5224531799075489</v>
      </c>
      <c r="R13" s="391">
        <f t="shared" ref="R13" si="21">IF(R12=0,0,SUM(S9:AD9))</f>
        <v>9.6018069564067776</v>
      </c>
      <c r="S13" s="391">
        <f t="shared" ref="S13" si="22">IF(S12=0,0,SUM(T9:AE9))</f>
        <v>9.6818220143768325</v>
      </c>
      <c r="T13" s="391">
        <f t="shared" ref="T13" si="23">IF(T12=0,0,SUM(U9:AF9))</f>
        <v>9.7625038644966402</v>
      </c>
      <c r="U13" s="391">
        <f t="shared" ref="U13" si="24">IF(U12=0,0,SUM(V9:AG9))</f>
        <v>9.8438580633674455</v>
      </c>
      <c r="V13" s="391">
        <f t="shared" ref="V13" si="25">IF(V12=0,0,SUM(W9:AH9))</f>
        <v>9.9258902138955083</v>
      </c>
      <c r="W13" s="391">
        <f t="shared" ref="W13" si="26">IF(W12=0,0,SUM(X9:AI9))</f>
        <v>10.008605965677969</v>
      </c>
      <c r="X13" s="391">
        <f t="shared" ref="X13" si="27">IF(X12=0,0,SUM(Y9:AJ9))</f>
        <v>10.092011015391952</v>
      </c>
      <c r="Y13" s="391">
        <f t="shared" ref="Y13" si="28">IF(Y12=0,0,SUM(Z9:AK9))</f>
        <v>10.176111107186886</v>
      </c>
      <c r="Z13" s="391">
        <f t="shared" ref="Z13" si="29">IF(Z12=0,0,SUM(AA9:AL9))</f>
        <v>10.260912033080109</v>
      </c>
      <c r="AA13" s="391">
        <f t="shared" ref="AA13" si="30">IF(AA12=0,0,SUM(AB9:AM9))</f>
        <v>10.346419633355778</v>
      </c>
      <c r="AB13" s="391">
        <f t="shared" ref="AB13" si="31">IF(AB12=0,0,SUM(AC9:AN9))</f>
        <v>10.432639796967077</v>
      </c>
      <c r="AC13" s="391">
        <f t="shared" ref="AC13" si="32">IF(AC12=0,0,SUM(AD9:AO9))</f>
        <v>10.519578461941801</v>
      </c>
      <c r="AD13" s="391">
        <f t="shared" ref="AD13" si="33">IF(AD12=0,0,SUM(AE9:AP9))</f>
        <v>10.607241615791315</v>
      </c>
      <c r="AE13" s="391">
        <f t="shared" ref="AE13" si="34">IF(AE12=0,0,SUM(AF9:AQ9))</f>
        <v>10.695635295922912</v>
      </c>
      <c r="AF13" s="391">
        <f t="shared" ref="AF13" si="35">IF(AF12=0,0,SUM(AG9:AR9))</f>
        <v>10.784765590055601</v>
      </c>
      <c r="AG13" s="391">
        <f t="shared" ref="AG13" si="36">IF(AG12=0,0,SUM(AH9:AS9))</f>
        <v>10.874638636639396</v>
      </c>
      <c r="AH13" s="391">
        <f t="shared" ref="AH13" si="37">IF(AH12=0,0,SUM(AI9:AT9))</f>
        <v>10.965260625278059</v>
      </c>
      <c r="AI13" s="391">
        <f t="shared" ref="AI13" si="38">IF(AI12=0,0,SUM(AJ9:AU9))</f>
        <v>11.056637797155377</v>
      </c>
      <c r="AJ13" s="391">
        <f t="shared" ref="AJ13" si="39">IF(AJ12=0,0,SUM(AK9:AV9))</f>
        <v>11.148776445465005</v>
      </c>
      <c r="AK13" s="391">
        <f t="shared" ref="AK13" si="40">IF(AK12=0,0,SUM(AL9:AW9))</f>
        <v>11.24168291584388</v>
      </c>
      <c r="AL13" s="391">
        <f t="shared" ref="AL13" si="41">IF(AL12=0,0,SUM(AM9:AX9))</f>
        <v>11.335363606809246</v>
      </c>
      <c r="AM13" s="391">
        <f t="shared" ref="AM13" si="42">IF(AM12=0,0,SUM(AN9:AY9))</f>
        <v>11.429824970199324</v>
      </c>
      <c r="AN13" s="391">
        <f t="shared" ref="AN13" si="43">IF(AN12=0,0,SUM(AO9:AZ9))</f>
        <v>11.52507351161765</v>
      </c>
      <c r="AO13" s="391">
        <f t="shared" ref="AO13" si="44">IF(AO12=0,0,SUM(AP9:BA9))</f>
        <v>11.621115790881131</v>
      </c>
      <c r="AP13" s="391">
        <f t="shared" ref="AP13" si="45">IF(AP12=0,0,SUM(AQ9:BB9))</f>
        <v>11.717958422471808</v>
      </c>
      <c r="AQ13" s="391">
        <f t="shared" ref="AQ13" si="46">IF(AQ12=0,0,SUM(AR9:BC9))</f>
        <v>11.815608075992404</v>
      </c>
      <c r="AR13" s="391">
        <f t="shared" ref="AR13" si="47">IF(AR12=0,0,SUM(AS9:BD9))</f>
        <v>11.914071476625676</v>
      </c>
      <c r="AS13" s="391">
        <f t="shared" ref="AS13" si="48">IF(AS12=0,0,SUM(AT9:BE9))</f>
        <v>12.013355405597558</v>
      </c>
      <c r="AT13" s="391">
        <f t="shared" ref="AT13" si="49">IF(AT12=0,0,SUM(AU9:BF9))</f>
        <v>12.113466700644201</v>
      </c>
      <c r="AU13" s="391">
        <f t="shared" ref="AU13" si="50">IF(AU12=0,0,SUM(AV9:BG9))</f>
        <v>12.214412256482904</v>
      </c>
      <c r="AV13" s="391">
        <f t="shared" ref="AV13" si="51">IF(AV12=0,0,SUM(AW9:BH9))</f>
        <v>12.316199025286927</v>
      </c>
      <c r="AW13" s="391">
        <f t="shared" ref="AW13" si="52">IF(AW12=0,0,SUM(AX9:BI9))</f>
        <v>12.418834017164318</v>
      </c>
      <c r="AX13" s="391">
        <f t="shared" ref="AX13" si="53">IF(AX12=0,0,SUM(AY9:BJ9))</f>
        <v>12.52232430064069</v>
      </c>
      <c r="AY13" s="391">
        <f t="shared" ref="AY13" si="54">IF(AY12=0,0,SUM(AZ9:BK9))</f>
        <v>12.62667700314603</v>
      </c>
      <c r="AZ13" s="391">
        <f t="shared" ref="AZ13" si="55">IF(AZ12=0,0,SUM(BA9:BL9))</f>
        <v>12.731899311505579</v>
      </c>
      <c r="BA13" s="391">
        <f t="shared" ref="BA13" si="56">IF(BA12=0,0,SUM(BB9:BM9))</f>
        <v>12.837998472434792</v>
      </c>
      <c r="BB13" s="391">
        <f t="shared" ref="BB13" si="57">IF(BB12=0,0,SUM(BC9:BN9))</f>
        <v>12.944981793038416</v>
      </c>
      <c r="BC13" s="391">
        <f t="shared" ref="BC13" si="58">IF(BC12=0,0,SUM(BD9:BO9))</f>
        <v>13.052856641313735</v>
      </c>
      <c r="BD13" s="391">
        <f t="shared" ref="BD13" si="59">IF(BD12=0,0,SUM(BE9:BP9))</f>
        <v>13.161630446658014</v>
      </c>
      <c r="BE13" s="391">
        <f t="shared" ref="BE13" si="60">IF(BE12=0,0,SUM(BF9:BQ9))</f>
        <v>13.271310700380164</v>
      </c>
      <c r="BF13" s="391">
        <f t="shared" ref="BF13" si="61">IF(BF12=0,0,SUM(BG9:BR9))</f>
        <v>13.381904956216667</v>
      </c>
      <c r="BG13" s="391">
        <f t="shared" ref="BG13" si="62">IF(BG12=0,0,SUM(BH9:BS9))</f>
        <v>13.493420830851806</v>
      </c>
      <c r="BH13" s="391">
        <f t="shared" ref="BH13" si="63">IF(BH12=0,0,SUM(BI9:BT9))</f>
        <v>13.605866004442237</v>
      </c>
      <c r="BI13" s="391">
        <f t="shared" ref="BI13" si="64">IF(BI12=0,0,SUM(BJ9:BU9))</f>
        <v>13.719248221145923</v>
      </c>
      <c r="BJ13" s="391">
        <f t="shared" ref="BJ13" si="65">IF(BJ12=0,0,SUM(BK9:BV9))</f>
        <v>13.833575289655474</v>
      </c>
      <c r="BK13" s="391">
        <f t="shared" ref="BK13" si="66">IF(BK12=0,0,SUM(BL9:BW9))</f>
        <v>13.948855083735936</v>
      </c>
      <c r="BL13" s="391">
        <f t="shared" ref="BL13" si="67">IF(BL12=0,0,SUM(BM9:BX9))</f>
        <v>14.06509554276707</v>
      </c>
      <c r="BM13" s="391">
        <f t="shared" ref="BM13" si="68">IF(BM12=0,0,SUM(BN9:BY9))</f>
        <v>14.182304672290128</v>
      </c>
      <c r="BN13" s="391">
        <f t="shared" ref="BN13" si="69">IF(BN12=0,0,SUM(BO9:BZ9))</f>
        <v>14.300490544559212</v>
      </c>
      <c r="BO13" s="391">
        <f t="shared" ref="BO13" si="70">IF(BO12=0,0,SUM(BP9:CA9))</f>
        <v>14.419661299097204</v>
      </c>
      <c r="BP13" s="391">
        <f t="shared" ref="BP13" si="71">IF(BP12=0,0,SUM(BQ9:CB9))</f>
        <v>14.539825143256348</v>
      </c>
      <c r="BQ13" s="391">
        <f t="shared" ref="BQ13" si="72">IF(BQ12=0,0,SUM(BR9:CC9))</f>
        <v>14.660990352783484</v>
      </c>
      <c r="BR13" s="391">
        <f t="shared" ref="BR13" si="73">IF(BR12=0,0,SUM(BS9:CD9))</f>
        <v>14.783165272390011</v>
      </c>
      <c r="BS13" s="391">
        <f t="shared" ref="BS13" si="74">IF(BS12=0,0,SUM(BT9:CE9))</f>
        <v>14.906358316326594</v>
      </c>
      <c r="BT13" s="391">
        <f t="shared" ref="BT13" si="75">IF(BT12=0,0,SUM(BU9:CF9))</f>
        <v>15.030577968962652</v>
      </c>
      <c r="BU13" s="391">
        <f t="shared" ref="BU13" si="76">IF(BU12=0,0,SUM(BV9:CG9))</f>
        <v>15.155832785370674</v>
      </c>
      <c r="BV13" s="391">
        <f t="shared" ref="BV13" si="77">IF(BV12=0,0,SUM(BW9:CH9))</f>
        <v>15.282131391915428</v>
      </c>
      <c r="BW13" s="391">
        <f t="shared" ref="BW13" si="78">IF(BW12=0,0,SUM(BX9:CI9))</f>
        <v>15.409482486848058</v>
      </c>
      <c r="BX13" s="391">
        <f t="shared" ref="BX13" si="79">IF(BX12=0,0,SUM(BY9:CJ9))</f>
        <v>15.537894840905125</v>
      </c>
      <c r="BY13" s="391">
        <f t="shared" ref="BY13" si="80">IF(BY12=0,0,SUM(BZ9:CK9))</f>
        <v>15.667377297912669</v>
      </c>
      <c r="BZ13" s="391">
        <f t="shared" ref="BZ13" si="81">IF(BZ12=0,0,SUM(CA9:CL9))</f>
        <v>15.797938775395275</v>
      </c>
      <c r="CA13" s="391">
        <f t="shared" ref="CA13" si="82">IF(CA12=0,0,SUM(CB9:CM9))</f>
        <v>15.929588265190237</v>
      </c>
      <c r="CB13" s="391">
        <f t="shared" ref="CB13" si="83">IF(CB12=0,0,SUM(CC9:CN9))</f>
        <v>16.062334834066821</v>
      </c>
      <c r="CC13" s="391">
        <f t="shared" ref="CC13" si="84">IF(CC12=0,0,SUM(CD9:CO9))</f>
        <v>16.196187624350713</v>
      </c>
      <c r="CD13" s="391">
        <f t="shared" ref="CD13" si="85">IF(CD12=0,0,SUM(CE9:CP9))</f>
        <v>16.331155854553636</v>
      </c>
      <c r="CE13" s="391">
        <f t="shared" ref="CE13" si="86">IF(CE12=0,0,SUM(CF9:CQ9))</f>
        <v>16.467248820008248</v>
      </c>
      <c r="CF13" s="391">
        <f t="shared" ref="CF13" si="87">IF(CF12=0,0,SUM(CG9:CR9))</f>
        <v>16.604475893508315</v>
      </c>
      <c r="CG13" s="391">
        <f t="shared" ref="CG13" si="88">IF(CG12=0,0,SUM(CH9:CS9))</f>
        <v>16.742846525954217</v>
      </c>
      <c r="CH13" s="391">
        <f t="shared" ref="CH13" si="89">IF(CH12=0,0,SUM(CI9:CT9))</f>
        <v>16.882370247003834</v>
      </c>
      <c r="CI13" s="391">
        <f t="shared" ref="CI13" si="90">IF(CI12=0,0,SUM(CJ9:CU9))</f>
        <v>17.023056665728866</v>
      </c>
      <c r="CJ13" s="391">
        <f t="shared" ref="CJ13" si="91">IF(CJ12=0,0,SUM(CK9:CV9))</f>
        <v>17.164915471276608</v>
      </c>
      <c r="CK13" s="391">
        <f t="shared" ref="CK13" si="92">IF(CK12=0,0,SUM(CL9:CW9))</f>
        <v>17.307956433537246</v>
      </c>
      <c r="CL13" s="391">
        <f t="shared" ref="CL13" si="93">IF(CL12=0,0,SUM(CM9:CX9))</f>
        <v>17.452189403816725</v>
      </c>
      <c r="CM13" s="391">
        <f t="shared" ref="CM13" si="94">IF(CM12=0,0,SUM(CN9:CY9))</f>
        <v>17.597624315515194</v>
      </c>
      <c r="CN13" s="391">
        <f t="shared" ref="CN13" si="95">IF(CN12=0,0,SUM(CO9:CZ9))</f>
        <v>17.744271184811154</v>
      </c>
      <c r="CO13" s="391">
        <f t="shared" ref="CO13" si="96">IF(CO12=0,0,SUM(CP9:DA9))</f>
        <v>17.892140111351249</v>
      </c>
      <c r="CP13" s="391">
        <f t="shared" ref="CP13" si="97">IF(CP12=0,0,SUM(CQ9:DB9))</f>
        <v>18.04124127894584</v>
      </c>
      <c r="CQ13" s="391">
        <f t="shared" ref="CQ13" si="98">IF(CQ12=0,0,SUM(CR9:DC9))</f>
        <v>18.19158495627039</v>
      </c>
      <c r="CR13" s="391">
        <f t="shared" ref="CR13" si="99">IF(CR12=0,0,SUM(CS9:DD9))</f>
        <v>18.343181497572644</v>
      </c>
      <c r="CS13" s="391">
        <f t="shared" ref="CS13" si="100">IF(CS12=0,0,SUM(CT9:DE9))</f>
        <v>18.496041343385748</v>
      </c>
      <c r="CT13" s="391">
        <f t="shared" ref="CT13" si="101">IF(CT12=0,0,SUM(CU9:DF9))</f>
        <v>18.650175021247296</v>
      </c>
      <c r="CU13" s="391">
        <f t="shared" ref="CU13" si="102">IF(CU12=0,0,SUM(CV9:DG9))</f>
        <v>18.805593146424357</v>
      </c>
      <c r="CV13" s="391">
        <f t="shared" ref="CV13" si="103">IF(CV12=0,0,SUM(CW9:DH9))</f>
        <v>18.962306422644563</v>
      </c>
      <c r="CW13" s="391">
        <f t="shared" ref="CW13" si="104">IF(CW12=0,0,SUM(CX9:DI9))</f>
        <v>19.120325642833265</v>
      </c>
      <c r="CX13" s="391">
        <f t="shared" ref="CX13" si="105">IF(CX12=0,0,SUM(CY9:DJ9))</f>
        <v>19.27966168985688</v>
      </c>
      <c r="CY13" s="391">
        <f t="shared" ref="CY13" si="106">IF(CY12=0,0,SUM(CZ9:DK9))</f>
        <v>19.440325537272354</v>
      </c>
      <c r="CZ13" s="391">
        <f t="shared" ref="CZ13" si="107">IF(CZ12=0,0,SUM(DA9:DL9))</f>
        <v>19.602328250082955</v>
      </c>
      <c r="DA13" s="391">
        <f t="shared" ref="DA13" si="108">IF(DA12=0,0,SUM(DB9:DM9))</f>
        <v>19.765680985500314</v>
      </c>
      <c r="DB13" s="391">
        <f t="shared" ref="DB13" si="109">IF(DB12=0,0,SUM(DC9:DN9))</f>
        <v>19.930394993712817</v>
      </c>
      <c r="DC13" s="391">
        <f t="shared" ref="DC13" si="110">IF(DC12=0,0,SUM(DD9:DO9))</f>
        <v>20.096481618660423</v>
      </c>
      <c r="DD13" s="391">
        <f t="shared" ref="DD13" si="111">IF(DD12=0,0,SUM(DE9:DP9))</f>
        <v>20.263952298815926</v>
      </c>
      <c r="DE13" s="391">
        <f t="shared" ref="DE13" si="112">IF(DE12=0,0,SUM(DF9:DQ9))</f>
        <v>20.432818567972724</v>
      </c>
      <c r="DF13" s="391">
        <f t="shared" ref="DF13" si="113">IF(DF12=0,0,SUM(DG9:DR9))</f>
        <v>20.603092056039166</v>
      </c>
      <c r="DG13" s="391">
        <f t="shared" ref="DG13" si="114">IF(DG12=0,0,SUM(DH9:DS9))</f>
        <v>18.963445372051243</v>
      </c>
      <c r="DH13" s="391">
        <f t="shared" ref="DH13" si="115">IF(DH12=0,0,SUM(DI9:DT9))</f>
        <v>17.310134965696758</v>
      </c>
      <c r="DI13" s="391">
        <f t="shared" ref="DI13" si="116">IF(DI12=0,0,SUM(DJ9:DU9))</f>
        <v>15.643046972622653</v>
      </c>
      <c r="DJ13" s="391">
        <f t="shared" ref="DJ13" si="117">IF(DJ12=0,0,SUM(DK9:DV9))</f>
        <v>13.962066579606262</v>
      </c>
      <c r="DK13" s="391">
        <f t="shared" ref="DK13" si="118">IF(DK12=0,0,SUM(DL9:DW9))</f>
        <v>12.267078016648069</v>
      </c>
      <c r="DL13" s="391">
        <f t="shared" ref="DL13" si="119">IF(DL12=0,0,SUM(DM9:DX9))</f>
        <v>10.557964548998559</v>
      </c>
      <c r="DM13" s="391">
        <f t="shared" ref="DM13" si="120">IF(DM12=0,0,SUM(DN9:DY9))</f>
        <v>8.8346084691186348</v>
      </c>
      <c r="DN13" s="391">
        <f t="shared" ref="DN13" si="121">IF(DN12=0,0,SUM(DO9:DZ9))</f>
        <v>7.0968910885730443</v>
      </c>
      <c r="DO13" s="391">
        <f t="shared" ref="DO13" si="122">IF(DO12=0,0,SUM(DP9:EA9))</f>
        <v>5.3446927298562406</v>
      </c>
      <c r="DP13" s="391">
        <f t="shared" ref="DP13" si="123">IF(DP12=0,0,SUM(DQ9:EB9))</f>
        <v>3.5778927181501308</v>
      </c>
      <c r="DQ13" s="391">
        <f t="shared" ref="DQ13" si="124">IF(DQ12=0,0,SUM(DR9:EC9))</f>
        <v>1.796369373013136</v>
      </c>
      <c r="DR13" s="391">
        <f t="shared" ref="DR13" si="125">IF(DR12=0,0,SUM(DS9:ED9))</f>
        <v>0</v>
      </c>
    </row>
    <row r="14" spans="2:122" x14ac:dyDescent="0.3">
      <c r="B14" s="382" t="s">
        <v>438</v>
      </c>
      <c r="C14" s="391">
        <f>IF(C12-C13&lt;0,0,C12-C13)</f>
        <v>127.91906201743309</v>
      </c>
      <c r="D14" s="391">
        <f t="shared" ref="D14:BO14" si="126">IF(D12-D13&lt;0,0,D12-D13)</f>
        <v>127.17371508312345</v>
      </c>
      <c r="E14" s="391">
        <f t="shared" si="126"/>
        <v>126.42215692436125</v>
      </c>
      <c r="F14" s="391">
        <f t="shared" si="126"/>
        <v>125.66433578094268</v>
      </c>
      <c r="G14" s="391">
        <f t="shared" si="126"/>
        <v>124.90019946132895</v>
      </c>
      <c r="H14" s="391">
        <f t="shared" si="126"/>
        <v>124.12969533905179</v>
      </c>
      <c r="I14" s="391">
        <f t="shared" si="126"/>
        <v>123.35277034908898</v>
      </c>
      <c r="J14" s="391">
        <f t="shared" si="126"/>
        <v>122.56937098420983</v>
      </c>
      <c r="K14" s="391">
        <f t="shared" si="126"/>
        <v>121.77944329129001</v>
      </c>
      <c r="L14" s="391">
        <f t="shared" si="126"/>
        <v>120.98293286759586</v>
      </c>
      <c r="M14" s="391">
        <f t="shared" si="126"/>
        <v>120.17978485703756</v>
      </c>
      <c r="N14" s="391">
        <f t="shared" si="126"/>
        <v>119.3699439463913</v>
      </c>
      <c r="O14" s="391">
        <f t="shared" si="126"/>
        <v>118.55335436148964</v>
      </c>
      <c r="P14" s="391">
        <f t="shared" si="126"/>
        <v>117.72995986338047</v>
      </c>
      <c r="Q14" s="391">
        <f t="shared" si="126"/>
        <v>116.89970374445373</v>
      </c>
      <c r="R14" s="391">
        <f t="shared" si="126"/>
        <v>116.06252882453593</v>
      </c>
      <c r="S14" s="391">
        <f t="shared" si="126"/>
        <v>115.21837744695215</v>
      </c>
      <c r="T14" s="391">
        <f t="shared" si="126"/>
        <v>114.36719147455517</v>
      </c>
      <c r="U14" s="391">
        <f t="shared" si="126"/>
        <v>113.50891228572155</v>
      </c>
      <c r="V14" s="391">
        <f t="shared" si="126"/>
        <v>112.64348077031431</v>
      </c>
      <c r="W14" s="391">
        <f t="shared" si="126"/>
        <v>111.77083732561202</v>
      </c>
      <c r="X14" s="391">
        <f t="shared" si="126"/>
        <v>110.89092185220389</v>
      </c>
      <c r="Y14" s="391">
        <f t="shared" si="126"/>
        <v>110.00367374985068</v>
      </c>
      <c r="Z14" s="391">
        <f t="shared" si="126"/>
        <v>109.10903191331118</v>
      </c>
      <c r="AA14" s="391">
        <f t="shared" si="126"/>
        <v>108.20693472813386</v>
      </c>
      <c r="AB14" s="391">
        <f t="shared" si="126"/>
        <v>107.29732006641339</v>
      </c>
      <c r="AC14" s="391">
        <f t="shared" si="126"/>
        <v>106.38012528251193</v>
      </c>
      <c r="AD14" s="391">
        <f t="shared" si="126"/>
        <v>105.45528720874462</v>
      </c>
      <c r="AE14" s="391">
        <f t="shared" si="126"/>
        <v>104.52274215102923</v>
      </c>
      <c r="AF14" s="391">
        <f t="shared" si="126"/>
        <v>103.58242588449957</v>
      </c>
      <c r="AG14" s="391">
        <f t="shared" si="126"/>
        <v>102.63427364908216</v>
      </c>
      <c r="AH14" s="391">
        <f t="shared" si="126"/>
        <v>101.67822014503625</v>
      </c>
      <c r="AI14" s="391">
        <f t="shared" si="126"/>
        <v>100.71419952845665</v>
      </c>
      <c r="AJ14" s="391">
        <f t="shared" si="126"/>
        <v>99.742145406738871</v>
      </c>
      <c r="AK14" s="391">
        <f t="shared" si="126"/>
        <v>98.761990834006781</v>
      </c>
      <c r="AL14" s="391">
        <f t="shared" si="126"/>
        <v>97.773668306501918</v>
      </c>
      <c r="AM14" s="391">
        <f t="shared" si="126"/>
        <v>96.777109757934525</v>
      </c>
      <c r="AN14" s="391">
        <f t="shared" si="126"/>
        <v>95.772246554795728</v>
      </c>
      <c r="AO14" s="391">
        <f t="shared" si="126"/>
        <v>94.759009491630778</v>
      </c>
      <c r="AP14" s="391">
        <f t="shared" si="126"/>
        <v>93.737328786272784</v>
      </c>
      <c r="AQ14" s="391">
        <f t="shared" si="126"/>
        <v>92.707134075036819</v>
      </c>
      <c r="AR14" s="391">
        <f t="shared" si="126"/>
        <v>91.668354407873878</v>
      </c>
      <c r="AS14" s="391">
        <f t="shared" si="126"/>
        <v>90.620918243484596</v>
      </c>
      <c r="AT14" s="391">
        <f t="shared" si="126"/>
        <v>89.564753444392053</v>
      </c>
      <c r="AU14" s="391">
        <f t="shared" si="126"/>
        <v>88.49978727197373</v>
      </c>
      <c r="AV14" s="391">
        <f t="shared" si="126"/>
        <v>87.425946381451922</v>
      </c>
      <c r="AW14" s="391">
        <f t="shared" si="126"/>
        <v>86.343156816842452</v>
      </c>
      <c r="AX14" s="391">
        <f t="shared" si="126"/>
        <v>85.251344005861213</v>
      </c>
      <c r="AY14" s="391">
        <f t="shared" si="126"/>
        <v>84.150432754788483</v>
      </c>
      <c r="AZ14" s="391">
        <f t="shared" si="126"/>
        <v>83.040347243290142</v>
      </c>
      <c r="BA14" s="391">
        <f t="shared" si="126"/>
        <v>81.921011019195973</v>
      </c>
      <c r="BB14" s="391">
        <f t="shared" si="126"/>
        <v>80.792346993234361</v>
      </c>
      <c r="BC14" s="391">
        <f t="shared" si="126"/>
        <v>79.654277433723053</v>
      </c>
      <c r="BD14" s="391">
        <f t="shared" si="126"/>
        <v>78.50672396121584</v>
      </c>
      <c r="BE14" s="391">
        <f t="shared" si="126"/>
        <v>77.349607543104383</v>
      </c>
      <c r="BF14" s="391">
        <f t="shared" si="126"/>
        <v>76.182848488175338</v>
      </c>
      <c r="BG14" s="391">
        <f t="shared" si="126"/>
        <v>75.006366441121898</v>
      </c>
      <c r="BH14" s="391">
        <f t="shared" si="126"/>
        <v>73.820080377009674</v>
      </c>
      <c r="BI14" s="391">
        <f t="shared" si="126"/>
        <v>72.623908595696506</v>
      </c>
      <c r="BJ14" s="391">
        <f t="shared" si="126"/>
        <v>71.417768716205728</v>
      </c>
      <c r="BK14" s="391">
        <f t="shared" si="126"/>
        <v>70.201577671052533</v>
      </c>
      <c r="BL14" s="391">
        <f t="shared" si="126"/>
        <v>68.97525170052306</v>
      </c>
      <c r="BM14" s="391">
        <f t="shared" si="126"/>
        <v>67.738706346905843</v>
      </c>
      <c r="BN14" s="391">
        <f t="shared" si="126"/>
        <v>66.491856448675151</v>
      </c>
      <c r="BO14" s="391">
        <f t="shared" si="126"/>
        <v>65.234616134625867</v>
      </c>
      <c r="BP14" s="391">
        <f t="shared" ref="BP14:DR14" si="127">IF(BP12-BP13&lt;0,0,BP12-BP13)</f>
        <v>63.966898817959489</v>
      </c>
      <c r="BQ14" s="391">
        <f t="shared" si="127"/>
        <v>62.688617190320912</v>
      </c>
      <c r="BR14" s="391">
        <f t="shared" si="127"/>
        <v>61.399683215785345</v>
      </c>
      <c r="BS14" s="391">
        <f t="shared" si="127"/>
        <v>60.100008124795302</v>
      </c>
      <c r="BT14" s="391">
        <f t="shared" si="127"/>
        <v>58.789502408047021</v>
      </c>
      <c r="BU14" s="391">
        <f t="shared" si="127"/>
        <v>57.468075810325828</v>
      </c>
      <c r="BV14" s="391">
        <f t="shared" si="127"/>
        <v>56.1356373242903</v>
      </c>
      <c r="BW14" s="391">
        <f t="shared" si="127"/>
        <v>54.792095184204477</v>
      </c>
      <c r="BX14" s="391">
        <f t="shared" si="127"/>
        <v>53.437356859617935</v>
      </c>
      <c r="BY14" s="391">
        <f t="shared" si="127"/>
        <v>52.071329048993178</v>
      </c>
      <c r="BZ14" s="391">
        <f t="shared" si="127"/>
        <v>50.693917673279877</v>
      </c>
      <c r="CA14" s="391">
        <f t="shared" si="127"/>
        <v>49.305027869435634</v>
      </c>
      <c r="CB14" s="391">
        <f t="shared" si="127"/>
        <v>47.904563983892686</v>
      </c>
      <c r="CC14" s="391">
        <f t="shared" si="127"/>
        <v>46.492429565970205</v>
      </c>
      <c r="CD14" s="391">
        <f t="shared" si="127"/>
        <v>45.068527361231709</v>
      </c>
      <c r="CE14" s="391">
        <f t="shared" si="127"/>
        <v>43.632759304787058</v>
      </c>
      <c r="CF14" s="391">
        <f t="shared" si="127"/>
        <v>42.185026514538713</v>
      </c>
      <c r="CG14" s="391">
        <f t="shared" si="127"/>
        <v>40.725229284371622</v>
      </c>
      <c r="CH14" s="391">
        <f t="shared" si="127"/>
        <v>39.25326707728648</v>
      </c>
      <c r="CI14" s="391">
        <f t="shared" si="127"/>
        <v>37.769038518475625</v>
      </c>
      <c r="CJ14" s="391">
        <f t="shared" si="127"/>
        <v>36.272441388341342</v>
      </c>
      <c r="CK14" s="391">
        <f t="shared" si="127"/>
        <v>34.763372615455935</v>
      </c>
      <c r="CL14" s="391">
        <f t="shared" si="127"/>
        <v>33.24172826946316</v>
      </c>
      <c r="CM14" s="391">
        <f t="shared" si="127"/>
        <v>31.707403553920447</v>
      </c>
      <c r="CN14" s="391">
        <f t="shared" si="127"/>
        <v>30.160292799081539</v>
      </c>
      <c r="CO14" s="391">
        <f t="shared" si="127"/>
        <v>28.60028945461897</v>
      </c>
      <c r="CP14" s="391">
        <f t="shared" si="127"/>
        <v>27.027286082285883</v>
      </c>
      <c r="CQ14" s="391">
        <f t="shared" si="127"/>
        <v>25.441174348516682</v>
      </c>
      <c r="CR14" s="391">
        <f t="shared" si="127"/>
        <v>23.841845016966076</v>
      </c>
      <c r="CS14" s="391">
        <f t="shared" si="127"/>
        <v>22.229187940985881</v>
      </c>
      <c r="CT14" s="391">
        <f t="shared" si="127"/>
        <v>20.603092056039184</v>
      </c>
      <c r="CU14" s="391">
        <f t="shared" si="127"/>
        <v>18.963445372051268</v>
      </c>
      <c r="CV14" s="391">
        <f t="shared" si="127"/>
        <v>17.310134965696779</v>
      </c>
      <c r="CW14" s="391">
        <f t="shared" si="127"/>
        <v>15.643046972622678</v>
      </c>
      <c r="CX14" s="391">
        <f t="shared" si="127"/>
        <v>13.962066579606287</v>
      </c>
      <c r="CY14" s="391">
        <f t="shared" si="127"/>
        <v>12.267078016648092</v>
      </c>
      <c r="CZ14" s="391">
        <f t="shared" si="127"/>
        <v>10.557964548998584</v>
      </c>
      <c r="DA14" s="391">
        <f t="shared" si="127"/>
        <v>8.8346084691186597</v>
      </c>
      <c r="DB14" s="391">
        <f t="shared" si="127"/>
        <v>7.09689108857307</v>
      </c>
      <c r="DC14" s="391">
        <f t="shared" si="127"/>
        <v>5.3446927298562663</v>
      </c>
      <c r="DD14" s="391">
        <f t="shared" si="127"/>
        <v>3.5778927181501565</v>
      </c>
      <c r="DE14" s="391">
        <f t="shared" si="127"/>
        <v>1.7963693730131638</v>
      </c>
      <c r="DF14" s="391">
        <f t="shared" si="127"/>
        <v>2.4868995751603507E-14</v>
      </c>
      <c r="DG14" s="391">
        <f t="shared" si="127"/>
        <v>2.8421709430404007E-14</v>
      </c>
      <c r="DH14" s="391">
        <f t="shared" si="127"/>
        <v>2.8421709430404007E-14</v>
      </c>
      <c r="DI14" s="391">
        <f t="shared" si="127"/>
        <v>2.8421709430404007E-14</v>
      </c>
      <c r="DJ14" s="391">
        <f t="shared" si="127"/>
        <v>2.8421709430404007E-14</v>
      </c>
      <c r="DK14" s="391">
        <f t="shared" si="127"/>
        <v>2.6645352591003757E-14</v>
      </c>
      <c r="DL14" s="391">
        <f t="shared" si="127"/>
        <v>2.4868995751603507E-14</v>
      </c>
      <c r="DM14" s="391">
        <f t="shared" si="127"/>
        <v>2.4868995751603507E-14</v>
      </c>
      <c r="DN14" s="391">
        <f t="shared" si="127"/>
        <v>2.4868995751603507E-14</v>
      </c>
      <c r="DO14" s="391">
        <f t="shared" si="127"/>
        <v>2.4868995751603507E-14</v>
      </c>
      <c r="DP14" s="391">
        <f t="shared" si="127"/>
        <v>2.4424906541753444E-14</v>
      </c>
      <c r="DQ14" s="391">
        <f t="shared" si="127"/>
        <v>2.4646951146678475E-14</v>
      </c>
      <c r="DR14" s="391">
        <f t="shared" si="127"/>
        <v>2.4646951146678475E-14</v>
      </c>
    </row>
    <row r="16" spans="2:122" x14ac:dyDescent="0.3">
      <c r="B16" s="181" t="s">
        <v>428</v>
      </c>
      <c r="C16" s="182" t="s">
        <v>275</v>
      </c>
      <c r="D16" s="182" t="s">
        <v>429</v>
      </c>
      <c r="E16" s="182" t="s">
        <v>430</v>
      </c>
      <c r="F16" s="182" t="s">
        <v>431</v>
      </c>
      <c r="G16" s="182" t="s">
        <v>130</v>
      </c>
    </row>
    <row r="17" spans="2:122" x14ac:dyDescent="0.3">
      <c r="B17" s="183" t="s">
        <v>432</v>
      </c>
      <c r="C17" s="168">
        <v>267</v>
      </c>
      <c r="D17" s="379">
        <v>0.11700000000000001</v>
      </c>
      <c r="E17" s="168">
        <v>72</v>
      </c>
      <c r="F17" s="169">
        <v>1</v>
      </c>
      <c r="G17" s="386">
        <f>-PMT(D17/12,E17,C17)</f>
        <v>5.1783411443821468</v>
      </c>
    </row>
    <row r="19" spans="2:122" x14ac:dyDescent="0.3">
      <c r="B19" s="378" t="s">
        <v>427</v>
      </c>
      <c r="C19" s="377">
        <v>1</v>
      </c>
      <c r="D19" s="377">
        <v>2</v>
      </c>
      <c r="E19" s="377">
        <v>3</v>
      </c>
      <c r="F19" s="377">
        <v>4</v>
      </c>
      <c r="G19" s="377">
        <v>5</v>
      </c>
      <c r="H19" s="377">
        <v>6</v>
      </c>
      <c r="I19" s="377">
        <v>7</v>
      </c>
      <c r="J19" s="377">
        <v>8</v>
      </c>
      <c r="K19" s="377">
        <v>9</v>
      </c>
      <c r="L19" s="377">
        <v>10</v>
      </c>
      <c r="M19" s="377">
        <v>11</v>
      </c>
      <c r="N19" s="377">
        <v>12</v>
      </c>
      <c r="O19" s="377">
        <v>13</v>
      </c>
      <c r="P19" s="377">
        <v>14</v>
      </c>
      <c r="Q19" s="377">
        <v>15</v>
      </c>
      <c r="R19" s="377">
        <v>16</v>
      </c>
      <c r="S19" s="377">
        <v>17</v>
      </c>
      <c r="T19" s="377">
        <v>18</v>
      </c>
      <c r="U19" s="377">
        <v>19</v>
      </c>
      <c r="V19" s="377">
        <v>20</v>
      </c>
      <c r="W19" s="377">
        <v>21</v>
      </c>
      <c r="X19" s="377">
        <v>22</v>
      </c>
      <c r="Y19" s="377">
        <v>23</v>
      </c>
      <c r="Z19" s="377">
        <v>24</v>
      </c>
      <c r="AA19" s="377">
        <v>25</v>
      </c>
      <c r="AB19" s="377">
        <v>26</v>
      </c>
      <c r="AC19" s="377">
        <v>27</v>
      </c>
      <c r="AD19" s="377">
        <v>28</v>
      </c>
      <c r="AE19" s="377">
        <v>29</v>
      </c>
      <c r="AF19" s="377">
        <v>30</v>
      </c>
      <c r="AG19" s="377">
        <v>31</v>
      </c>
      <c r="AH19" s="377">
        <v>32</v>
      </c>
      <c r="AI19" s="377">
        <v>33</v>
      </c>
      <c r="AJ19" s="377">
        <v>34</v>
      </c>
      <c r="AK19" s="377">
        <v>35</v>
      </c>
      <c r="AL19" s="377">
        <v>36</v>
      </c>
      <c r="AM19" s="377">
        <v>37</v>
      </c>
      <c r="AN19" s="377">
        <v>38</v>
      </c>
      <c r="AO19" s="377">
        <v>39</v>
      </c>
      <c r="AP19" s="377">
        <v>40</v>
      </c>
      <c r="AQ19" s="377">
        <v>41</v>
      </c>
      <c r="AR19" s="377">
        <v>42</v>
      </c>
      <c r="AS19" s="377">
        <v>43</v>
      </c>
      <c r="AT19" s="377">
        <v>44</v>
      </c>
      <c r="AU19" s="377">
        <v>45</v>
      </c>
      <c r="AV19" s="377">
        <v>46</v>
      </c>
      <c r="AW19" s="377">
        <v>47</v>
      </c>
      <c r="AX19" s="377">
        <v>48</v>
      </c>
      <c r="AY19" s="377">
        <v>49</v>
      </c>
      <c r="AZ19" s="377">
        <v>50</v>
      </c>
      <c r="BA19" s="377">
        <v>51</v>
      </c>
      <c r="BB19" s="377">
        <v>52</v>
      </c>
      <c r="BC19" s="377">
        <v>53</v>
      </c>
      <c r="BD19" s="377">
        <v>54</v>
      </c>
      <c r="BE19" s="377">
        <v>55</v>
      </c>
      <c r="BF19" s="377">
        <v>56</v>
      </c>
      <c r="BG19" s="377">
        <v>57</v>
      </c>
      <c r="BH19" s="377">
        <v>58</v>
      </c>
      <c r="BI19" s="377">
        <v>59</v>
      </c>
      <c r="BJ19" s="377">
        <v>60</v>
      </c>
      <c r="BK19" s="377">
        <v>61</v>
      </c>
      <c r="BL19" s="377">
        <v>62</v>
      </c>
      <c r="BM19" s="377">
        <v>63</v>
      </c>
      <c r="BN19" s="377">
        <v>64</v>
      </c>
      <c r="BO19" s="377">
        <v>65</v>
      </c>
      <c r="BP19" s="377">
        <v>66</v>
      </c>
      <c r="BQ19" s="377">
        <v>67</v>
      </c>
      <c r="BR19" s="377">
        <v>68</v>
      </c>
      <c r="BS19" s="377">
        <v>69</v>
      </c>
      <c r="BT19" s="377">
        <v>70</v>
      </c>
      <c r="BU19" s="377">
        <v>71</v>
      </c>
      <c r="BV19" s="377">
        <v>72</v>
      </c>
      <c r="BW19" s="377">
        <v>73</v>
      </c>
      <c r="BX19" s="377">
        <v>74</v>
      </c>
      <c r="BY19" s="377">
        <v>75</v>
      </c>
      <c r="BZ19" s="377">
        <v>76</v>
      </c>
      <c r="CA19" s="377">
        <v>77</v>
      </c>
      <c r="CB19" s="377">
        <v>78</v>
      </c>
      <c r="CC19" s="377">
        <v>79</v>
      </c>
      <c r="CD19" s="377">
        <v>80</v>
      </c>
      <c r="CE19" s="377">
        <v>81</v>
      </c>
      <c r="CF19" s="377">
        <v>82</v>
      </c>
      <c r="CG19" s="377">
        <v>83</v>
      </c>
      <c r="CH19" s="377">
        <v>84</v>
      </c>
      <c r="CI19" s="377">
        <v>85</v>
      </c>
      <c r="CJ19" s="377">
        <v>86</v>
      </c>
      <c r="CK19" s="377">
        <v>87</v>
      </c>
      <c r="CL19" s="377">
        <v>88</v>
      </c>
      <c r="CM19" s="377">
        <v>89</v>
      </c>
      <c r="CN19" s="377">
        <v>90</v>
      </c>
      <c r="CO19" s="377">
        <v>91</v>
      </c>
      <c r="CP19" s="377">
        <v>92</v>
      </c>
      <c r="CQ19" s="377">
        <v>93</v>
      </c>
      <c r="CR19" s="377">
        <v>94</v>
      </c>
      <c r="CS19" s="377">
        <v>95</v>
      </c>
      <c r="CT19" s="377">
        <v>96</v>
      </c>
      <c r="CU19" s="377">
        <v>97</v>
      </c>
      <c r="CV19" s="377">
        <v>98</v>
      </c>
      <c r="CW19" s="377">
        <v>99</v>
      </c>
      <c r="CX19" s="377">
        <v>100</v>
      </c>
      <c r="CY19" s="377">
        <v>101</v>
      </c>
      <c r="CZ19" s="377">
        <v>102</v>
      </c>
      <c r="DA19" s="377">
        <v>103</v>
      </c>
      <c r="DB19" s="377">
        <v>104</v>
      </c>
      <c r="DC19" s="377">
        <v>105</v>
      </c>
      <c r="DD19" s="377">
        <v>106</v>
      </c>
      <c r="DE19" s="377">
        <v>107</v>
      </c>
      <c r="DF19" s="377">
        <v>108</v>
      </c>
      <c r="DG19" s="377">
        <v>109</v>
      </c>
      <c r="DH19" s="377">
        <v>110</v>
      </c>
      <c r="DI19" s="377">
        <v>111</v>
      </c>
      <c r="DJ19" s="377">
        <v>112</v>
      </c>
      <c r="DK19" s="377">
        <v>113</v>
      </c>
      <c r="DL19" s="377">
        <v>114</v>
      </c>
      <c r="DM19" s="377">
        <v>115</v>
      </c>
      <c r="DN19" s="377">
        <v>116</v>
      </c>
      <c r="DO19" s="377">
        <v>117</v>
      </c>
      <c r="DP19" s="377">
        <v>118</v>
      </c>
      <c r="DQ19" s="377">
        <v>119</v>
      </c>
      <c r="DR19" s="377">
        <v>120</v>
      </c>
    </row>
    <row r="20" spans="2:122" x14ac:dyDescent="0.3">
      <c r="B20" s="380" t="s">
        <v>433</v>
      </c>
      <c r="C20" s="381">
        <v>1</v>
      </c>
      <c r="D20" s="381">
        <v>2</v>
      </c>
      <c r="E20" s="381">
        <v>3</v>
      </c>
      <c r="F20" s="381">
        <v>4</v>
      </c>
      <c r="G20" s="381">
        <v>5</v>
      </c>
      <c r="H20" s="381">
        <v>6</v>
      </c>
      <c r="I20" s="381">
        <v>7</v>
      </c>
      <c r="J20" s="381">
        <v>8</v>
      </c>
      <c r="K20" s="381">
        <v>9</v>
      </c>
      <c r="L20" s="381">
        <v>10</v>
      </c>
      <c r="M20" s="381">
        <v>11</v>
      </c>
      <c r="N20" s="381">
        <v>12</v>
      </c>
      <c r="O20" s="381">
        <v>13</v>
      </c>
      <c r="P20" s="381">
        <v>14</v>
      </c>
      <c r="Q20" s="381">
        <v>15</v>
      </c>
      <c r="R20" s="381">
        <v>16</v>
      </c>
      <c r="S20" s="381">
        <v>17</v>
      </c>
      <c r="T20" s="381">
        <v>18</v>
      </c>
      <c r="U20" s="381">
        <v>19</v>
      </c>
      <c r="V20" s="381">
        <v>20</v>
      </c>
      <c r="W20" s="381">
        <v>21</v>
      </c>
      <c r="X20" s="381">
        <v>22</v>
      </c>
      <c r="Y20" s="381">
        <v>23</v>
      </c>
      <c r="Z20" s="381">
        <v>24</v>
      </c>
      <c r="AA20" s="381">
        <v>25</v>
      </c>
      <c r="AB20" s="381">
        <v>26</v>
      </c>
      <c r="AC20" s="381">
        <v>27</v>
      </c>
      <c r="AD20" s="381">
        <v>28</v>
      </c>
      <c r="AE20" s="381">
        <v>29</v>
      </c>
      <c r="AF20" s="381">
        <v>30</v>
      </c>
      <c r="AG20" s="381">
        <v>31</v>
      </c>
      <c r="AH20" s="381">
        <v>32</v>
      </c>
      <c r="AI20" s="381">
        <v>33</v>
      </c>
      <c r="AJ20" s="381">
        <v>34</v>
      </c>
      <c r="AK20" s="381">
        <v>35</v>
      </c>
      <c r="AL20" s="381">
        <v>36</v>
      </c>
      <c r="AM20" s="381">
        <v>37</v>
      </c>
      <c r="AN20" s="381">
        <v>38</v>
      </c>
      <c r="AO20" s="381">
        <v>39</v>
      </c>
      <c r="AP20" s="381">
        <v>40</v>
      </c>
      <c r="AQ20" s="381">
        <v>41</v>
      </c>
      <c r="AR20" s="381">
        <v>42</v>
      </c>
      <c r="AS20" s="381">
        <v>43</v>
      </c>
      <c r="AT20" s="381">
        <v>44</v>
      </c>
      <c r="AU20" s="381">
        <v>45</v>
      </c>
      <c r="AV20" s="381">
        <v>46</v>
      </c>
      <c r="AW20" s="381">
        <v>47</v>
      </c>
      <c r="AX20" s="381">
        <v>48</v>
      </c>
      <c r="AY20" s="381">
        <v>49</v>
      </c>
      <c r="AZ20" s="381">
        <v>50</v>
      </c>
      <c r="BA20" s="381">
        <v>51</v>
      </c>
      <c r="BB20" s="381">
        <v>52</v>
      </c>
      <c r="BC20" s="381">
        <v>53</v>
      </c>
      <c r="BD20" s="381">
        <v>54</v>
      </c>
      <c r="BE20" s="381">
        <v>55</v>
      </c>
      <c r="BF20" s="381">
        <v>56</v>
      </c>
      <c r="BG20" s="381">
        <v>57</v>
      </c>
      <c r="BH20" s="381">
        <v>58</v>
      </c>
      <c r="BI20" s="381">
        <v>59</v>
      </c>
      <c r="BJ20" s="381">
        <v>60</v>
      </c>
      <c r="BK20" s="381">
        <v>61</v>
      </c>
      <c r="BL20" s="381">
        <v>62</v>
      </c>
      <c r="BM20" s="381">
        <v>63</v>
      </c>
      <c r="BN20" s="381">
        <v>64</v>
      </c>
      <c r="BO20" s="381">
        <v>65</v>
      </c>
      <c r="BP20" s="381">
        <v>66</v>
      </c>
      <c r="BQ20" s="381">
        <v>67</v>
      </c>
      <c r="BR20" s="381">
        <v>68</v>
      </c>
      <c r="BS20" s="381">
        <v>69</v>
      </c>
      <c r="BT20" s="381">
        <v>70</v>
      </c>
      <c r="BU20" s="381">
        <v>71</v>
      </c>
      <c r="BV20" s="381">
        <v>72</v>
      </c>
      <c r="BW20" s="381">
        <v>73</v>
      </c>
      <c r="BX20" s="381">
        <v>74</v>
      </c>
      <c r="BY20" s="381">
        <v>75</v>
      </c>
      <c r="BZ20" s="381">
        <v>76</v>
      </c>
      <c r="CA20" s="381">
        <v>77</v>
      </c>
      <c r="CB20" s="381">
        <v>78</v>
      </c>
      <c r="CC20" s="381">
        <v>79</v>
      </c>
      <c r="CD20" s="381">
        <v>80</v>
      </c>
      <c r="CE20" s="381">
        <v>81</v>
      </c>
      <c r="CF20" s="381">
        <v>82</v>
      </c>
      <c r="CG20" s="381">
        <v>83</v>
      </c>
      <c r="CH20" s="381">
        <v>84</v>
      </c>
      <c r="CI20" s="381">
        <v>85</v>
      </c>
      <c r="CJ20" s="381">
        <v>86</v>
      </c>
      <c r="CK20" s="381">
        <v>87</v>
      </c>
      <c r="CL20" s="381">
        <v>88</v>
      </c>
      <c r="CM20" s="381">
        <v>89</v>
      </c>
      <c r="CN20" s="381">
        <v>90</v>
      </c>
      <c r="CO20" s="381">
        <v>91</v>
      </c>
      <c r="CP20" s="381">
        <v>92</v>
      </c>
      <c r="CQ20" s="381">
        <v>93</v>
      </c>
      <c r="CR20" s="381">
        <v>94</v>
      </c>
      <c r="CS20" s="381">
        <v>95</v>
      </c>
      <c r="CT20" s="381">
        <v>96</v>
      </c>
      <c r="CU20" s="381">
        <v>97</v>
      </c>
      <c r="CV20" s="381">
        <v>98</v>
      </c>
      <c r="CW20" s="381">
        <v>99</v>
      </c>
      <c r="CX20" s="381">
        <v>100</v>
      </c>
      <c r="CY20" s="381">
        <v>101</v>
      </c>
      <c r="CZ20" s="381">
        <v>102</v>
      </c>
      <c r="DA20" s="381">
        <v>103</v>
      </c>
      <c r="DB20" s="381">
        <v>104</v>
      </c>
      <c r="DC20" s="381">
        <v>105</v>
      </c>
      <c r="DD20" s="381">
        <v>106</v>
      </c>
      <c r="DE20" s="381">
        <v>107</v>
      </c>
      <c r="DF20" s="381">
        <v>108</v>
      </c>
      <c r="DG20" s="381">
        <v>109</v>
      </c>
      <c r="DH20" s="381">
        <v>110</v>
      </c>
      <c r="DI20" s="381">
        <v>111</v>
      </c>
      <c r="DJ20" s="381">
        <v>112</v>
      </c>
      <c r="DK20" s="381">
        <v>113</v>
      </c>
      <c r="DL20" s="381">
        <v>114</v>
      </c>
      <c r="DM20" s="381">
        <v>115</v>
      </c>
      <c r="DN20" s="381">
        <v>116</v>
      </c>
      <c r="DO20" s="381">
        <v>117</v>
      </c>
      <c r="DP20" s="381">
        <v>118</v>
      </c>
      <c r="DQ20" s="381">
        <v>119</v>
      </c>
      <c r="DR20" s="381">
        <v>120</v>
      </c>
    </row>
    <row r="21" spans="2:122" x14ac:dyDescent="0.3">
      <c r="B21" s="382" t="s">
        <v>434</v>
      </c>
      <c r="C21" s="383">
        <f>-IFERROR(PPMT($D$17/12,C20,$E$17,$C$17),0)</f>
        <v>2.5750911443821467</v>
      </c>
      <c r="D21" s="383">
        <f t="shared" ref="D21:BJ21" si="128">-IFERROR(PPMT($D$17/12,D20,$E$17,$C$17),0)</f>
        <v>2.6001982830398722</v>
      </c>
      <c r="E21" s="383">
        <f t="shared" si="128"/>
        <v>2.6255502162995108</v>
      </c>
      <c r="F21" s="383">
        <f t="shared" si="128"/>
        <v>2.6511493309084311</v>
      </c>
      <c r="G21" s="383">
        <f t="shared" si="128"/>
        <v>2.6769980368847888</v>
      </c>
      <c r="H21" s="383">
        <f t="shared" si="128"/>
        <v>2.7030987677444154</v>
      </c>
      <c r="I21" s="383">
        <f t="shared" si="128"/>
        <v>2.7294539807299238</v>
      </c>
      <c r="J21" s="383">
        <f t="shared" si="128"/>
        <v>2.7560661570420404</v>
      </c>
      <c r="K21" s="383">
        <f t="shared" si="128"/>
        <v>2.7829378020732003</v>
      </c>
      <c r="L21" s="383">
        <f t="shared" si="128"/>
        <v>2.8100714456434139</v>
      </c>
      <c r="M21" s="383">
        <f t="shared" si="128"/>
        <v>2.8374696422384367</v>
      </c>
      <c r="N21" s="383">
        <f t="shared" si="128"/>
        <v>2.8651349712502614</v>
      </c>
      <c r="O21" s="383">
        <f t="shared" si="128"/>
        <v>2.8930700372199523</v>
      </c>
      <c r="P21" s="383">
        <f t="shared" si="128"/>
        <v>2.9212774700828468</v>
      </c>
      <c r="Q21" s="383">
        <f t="shared" si="128"/>
        <v>2.9497599254161542</v>
      </c>
      <c r="R21" s="383">
        <f t="shared" si="128"/>
        <v>2.9785200846889612</v>
      </c>
      <c r="S21" s="383">
        <f t="shared" si="128"/>
        <v>3.0075606555146788</v>
      </c>
      <c r="T21" s="383">
        <f t="shared" si="128"/>
        <v>3.0368843719059471</v>
      </c>
      <c r="U21" s="383">
        <f t="shared" si="128"/>
        <v>3.06649399453203</v>
      </c>
      <c r="V21" s="383">
        <f t="shared" si="128"/>
        <v>3.0963923109787173</v>
      </c>
      <c r="W21" s="383">
        <f t="shared" si="128"/>
        <v>3.12658213601076</v>
      </c>
      <c r="X21" s="383">
        <f t="shared" si="128"/>
        <v>3.1570663118368643</v>
      </c>
      <c r="Y21" s="383">
        <f t="shared" si="128"/>
        <v>3.1878477083772743</v>
      </c>
      <c r="Z21" s="383">
        <f t="shared" si="128"/>
        <v>3.2189292235339533</v>
      </c>
      <c r="AA21" s="383">
        <f t="shared" si="128"/>
        <v>3.2503137834634086</v>
      </c>
      <c r="AB21" s="383">
        <f t="shared" si="128"/>
        <v>3.282004342852177</v>
      </c>
      <c r="AC21" s="383">
        <f t="shared" si="128"/>
        <v>3.3140038851949858</v>
      </c>
      <c r="AD21" s="383">
        <f t="shared" si="128"/>
        <v>3.3463154230756369</v>
      </c>
      <c r="AE21" s="383">
        <f t="shared" si="128"/>
        <v>3.3789419984506246</v>
      </c>
      <c r="AF21" s="383">
        <f t="shared" si="128"/>
        <v>3.4118866829355179</v>
      </c>
      <c r="AG21" s="383">
        <f t="shared" si="128"/>
        <v>3.445152578094139</v>
      </c>
      <c r="AH21" s="383">
        <f t="shared" si="128"/>
        <v>3.4787428157305569</v>
      </c>
      <c r="AI21" s="383">
        <f t="shared" si="128"/>
        <v>3.5126605581839301</v>
      </c>
      <c r="AJ21" s="383">
        <f t="shared" si="128"/>
        <v>3.5469089986262232</v>
      </c>
      <c r="AK21" s="383">
        <f t="shared" si="128"/>
        <v>3.5814913613628288</v>
      </c>
      <c r="AL21" s="383">
        <f t="shared" si="128"/>
        <v>3.6164109021361166</v>
      </c>
      <c r="AM21" s="383">
        <f t="shared" si="128"/>
        <v>3.6516709084319436</v>
      </c>
      <c r="AN21" s="383">
        <f t="shared" si="128"/>
        <v>3.6872746997891555</v>
      </c>
      <c r="AO21" s="383">
        <f t="shared" si="128"/>
        <v>3.7232256281120999</v>
      </c>
      <c r="AP21" s="383">
        <f t="shared" si="128"/>
        <v>3.7595270779861925</v>
      </c>
      <c r="AQ21" s="383">
        <f t="shared" si="128"/>
        <v>3.7961824669965578</v>
      </c>
      <c r="AR21" s="383">
        <f t="shared" si="128"/>
        <v>3.8331952460497738</v>
      </c>
      <c r="AS21" s="383">
        <f t="shared" si="128"/>
        <v>3.8705688996987599</v>
      </c>
      <c r="AT21" s="383">
        <f t="shared" si="128"/>
        <v>3.9083069464708222</v>
      </c>
      <c r="AU21" s="383">
        <f t="shared" si="128"/>
        <v>3.9464129391989129</v>
      </c>
      <c r="AV21" s="383">
        <f t="shared" si="128"/>
        <v>3.9848904653561021</v>
      </c>
      <c r="AW21" s="383">
        <f t="shared" si="128"/>
        <v>4.0237431473933238</v>
      </c>
      <c r="AX21" s="383">
        <f t="shared" si="128"/>
        <v>4.062974643080409</v>
      </c>
      <c r="AY21" s="383">
        <f t="shared" si="128"/>
        <v>4.1025886458504432</v>
      </c>
      <c r="AZ21" s="383">
        <f t="shared" si="128"/>
        <v>4.142588885147485</v>
      </c>
      <c r="BA21" s="383">
        <f t="shared" si="128"/>
        <v>4.1829791267776733</v>
      </c>
      <c r="BB21" s="383">
        <f t="shared" si="128"/>
        <v>4.2237631732637553</v>
      </c>
      <c r="BC21" s="383">
        <f t="shared" si="128"/>
        <v>4.2649448642030769</v>
      </c>
      <c r="BD21" s="383">
        <f t="shared" si="128"/>
        <v>4.306528076629057</v>
      </c>
      <c r="BE21" s="383">
        <f t="shared" si="128"/>
        <v>4.3485167253761903</v>
      </c>
      <c r="BF21" s="383">
        <f t="shared" si="128"/>
        <v>4.3909147634486088</v>
      </c>
      <c r="BG21" s="383">
        <f t="shared" si="128"/>
        <v>4.433726182392232</v>
      </c>
      <c r="BH21" s="383">
        <f t="shared" si="128"/>
        <v>4.4769550126705564</v>
      </c>
      <c r="BI21" s="383">
        <f t="shared" si="128"/>
        <v>4.5206053240440944</v>
      </c>
      <c r="BJ21" s="383">
        <f t="shared" si="128"/>
        <v>4.5646812259535245</v>
      </c>
      <c r="BK21" s="383">
        <f t="shared" ref="BK21:DR21" si="129">-IFERROR(PPMT($D$17/12,BK20,$E$17,$C$17),0)</f>
        <v>4.6091868679065717</v>
      </c>
      <c r="BL21" s="383">
        <f t="shared" si="129"/>
        <v>4.6541264398686604</v>
      </c>
      <c r="BM21" s="383">
        <f t="shared" si="129"/>
        <v>4.6995041726573801</v>
      </c>
      <c r="BN21" s="383">
        <f t="shared" si="129"/>
        <v>4.7453243383407893</v>
      </c>
      <c r="BO21" s="383">
        <f t="shared" si="129"/>
        <v>4.7915912506396117</v>
      </c>
      <c r="BP21" s="383">
        <f t="shared" si="129"/>
        <v>4.8383092653333479</v>
      </c>
      <c r="BQ21" s="383">
        <f t="shared" si="129"/>
        <v>4.8854827806703485</v>
      </c>
      <c r="BR21" s="383">
        <f t="shared" si="129"/>
        <v>4.933116237781884</v>
      </c>
      <c r="BS21" s="383">
        <f t="shared" si="129"/>
        <v>4.9812141211002574</v>
      </c>
      <c r="BT21" s="383">
        <f t="shared" si="129"/>
        <v>5.029780958780985</v>
      </c>
      <c r="BU21" s="383">
        <f t="shared" si="129"/>
        <v>5.0788213231290991</v>
      </c>
      <c r="BV21" s="383">
        <f t="shared" si="129"/>
        <v>5.1283398310296082</v>
      </c>
      <c r="BW21" s="383">
        <f t="shared" si="129"/>
        <v>0</v>
      </c>
      <c r="BX21" s="383">
        <f t="shared" si="129"/>
        <v>0</v>
      </c>
      <c r="BY21" s="383">
        <f t="shared" si="129"/>
        <v>0</v>
      </c>
      <c r="BZ21" s="383">
        <f t="shared" si="129"/>
        <v>0</v>
      </c>
      <c r="CA21" s="383">
        <f t="shared" si="129"/>
        <v>0</v>
      </c>
      <c r="CB21" s="383">
        <f t="shared" si="129"/>
        <v>0</v>
      </c>
      <c r="CC21" s="383">
        <f t="shared" si="129"/>
        <v>0</v>
      </c>
      <c r="CD21" s="383">
        <f t="shared" si="129"/>
        <v>0</v>
      </c>
      <c r="CE21" s="383">
        <f t="shared" si="129"/>
        <v>0</v>
      </c>
      <c r="CF21" s="383">
        <f t="shared" si="129"/>
        <v>0</v>
      </c>
      <c r="CG21" s="383">
        <f t="shared" si="129"/>
        <v>0</v>
      </c>
      <c r="CH21" s="383">
        <f t="shared" si="129"/>
        <v>0</v>
      </c>
      <c r="CI21" s="383">
        <f t="shared" si="129"/>
        <v>0</v>
      </c>
      <c r="CJ21" s="383">
        <f t="shared" si="129"/>
        <v>0</v>
      </c>
      <c r="CK21" s="383">
        <f t="shared" si="129"/>
        <v>0</v>
      </c>
      <c r="CL21" s="383">
        <f t="shared" si="129"/>
        <v>0</v>
      </c>
      <c r="CM21" s="383">
        <f t="shared" si="129"/>
        <v>0</v>
      </c>
      <c r="CN21" s="383">
        <f t="shared" si="129"/>
        <v>0</v>
      </c>
      <c r="CO21" s="383">
        <f t="shared" si="129"/>
        <v>0</v>
      </c>
      <c r="CP21" s="383">
        <f t="shared" si="129"/>
        <v>0</v>
      </c>
      <c r="CQ21" s="383">
        <f t="shared" si="129"/>
        <v>0</v>
      </c>
      <c r="CR21" s="383">
        <f t="shared" si="129"/>
        <v>0</v>
      </c>
      <c r="CS21" s="383">
        <f t="shared" si="129"/>
        <v>0</v>
      </c>
      <c r="CT21" s="383">
        <f t="shared" si="129"/>
        <v>0</v>
      </c>
      <c r="CU21" s="383">
        <f t="shared" si="129"/>
        <v>0</v>
      </c>
      <c r="CV21" s="383">
        <f t="shared" si="129"/>
        <v>0</v>
      </c>
      <c r="CW21" s="383">
        <f t="shared" si="129"/>
        <v>0</v>
      </c>
      <c r="CX21" s="383">
        <f t="shared" si="129"/>
        <v>0</v>
      </c>
      <c r="CY21" s="383">
        <f t="shared" si="129"/>
        <v>0</v>
      </c>
      <c r="CZ21" s="383">
        <f t="shared" si="129"/>
        <v>0</v>
      </c>
      <c r="DA21" s="383">
        <f t="shared" si="129"/>
        <v>0</v>
      </c>
      <c r="DB21" s="383">
        <f t="shared" si="129"/>
        <v>0</v>
      </c>
      <c r="DC21" s="383">
        <f t="shared" si="129"/>
        <v>0</v>
      </c>
      <c r="DD21" s="383">
        <f t="shared" si="129"/>
        <v>0</v>
      </c>
      <c r="DE21" s="383">
        <f t="shared" si="129"/>
        <v>0</v>
      </c>
      <c r="DF21" s="383">
        <f t="shared" si="129"/>
        <v>0</v>
      </c>
      <c r="DG21" s="383">
        <f t="shared" si="129"/>
        <v>0</v>
      </c>
      <c r="DH21" s="383">
        <f t="shared" si="129"/>
        <v>0</v>
      </c>
      <c r="DI21" s="383">
        <f t="shared" si="129"/>
        <v>0</v>
      </c>
      <c r="DJ21" s="383">
        <f t="shared" si="129"/>
        <v>0</v>
      </c>
      <c r="DK21" s="383">
        <f t="shared" si="129"/>
        <v>0</v>
      </c>
      <c r="DL21" s="383">
        <f t="shared" si="129"/>
        <v>0</v>
      </c>
      <c r="DM21" s="383">
        <f t="shared" si="129"/>
        <v>0</v>
      </c>
      <c r="DN21" s="383">
        <f t="shared" si="129"/>
        <v>0</v>
      </c>
      <c r="DO21" s="383">
        <f t="shared" si="129"/>
        <v>0</v>
      </c>
      <c r="DP21" s="383">
        <f t="shared" si="129"/>
        <v>0</v>
      </c>
      <c r="DQ21" s="383">
        <f t="shared" si="129"/>
        <v>0</v>
      </c>
      <c r="DR21" s="383">
        <f t="shared" si="129"/>
        <v>0</v>
      </c>
    </row>
    <row r="22" spans="2:122" x14ac:dyDescent="0.3">
      <c r="B22" s="382" t="s">
        <v>435</v>
      </c>
      <c r="C22" s="383">
        <f>-IFERROR(IPMT($D$17/12,C20,$E$17,$C$17),0)</f>
        <v>2.6032500000000001</v>
      </c>
      <c r="D22" s="383">
        <f t="shared" ref="D22:BJ22" si="130">-IFERROR(IPMT($D$17/12,D20,$E$17,$C$17),0)</f>
        <v>2.5781428613422741</v>
      </c>
      <c r="E22" s="383">
        <f t="shared" si="130"/>
        <v>2.5527909280826355</v>
      </c>
      <c r="F22" s="383">
        <f t="shared" si="130"/>
        <v>2.5271918134737157</v>
      </c>
      <c r="G22" s="383">
        <f t="shared" si="130"/>
        <v>2.501343107497358</v>
      </c>
      <c r="H22" s="383">
        <f t="shared" si="130"/>
        <v>2.4752423766377318</v>
      </c>
      <c r="I22" s="383">
        <f t="shared" si="130"/>
        <v>2.4488871636522238</v>
      </c>
      <c r="J22" s="383">
        <f t="shared" si="130"/>
        <v>2.4222749873401064</v>
      </c>
      <c r="K22" s="383">
        <f t="shared" si="130"/>
        <v>2.3954033423089469</v>
      </c>
      <c r="L22" s="383">
        <f t="shared" si="130"/>
        <v>2.3682696987387337</v>
      </c>
      <c r="M22" s="383">
        <f t="shared" si="130"/>
        <v>2.3408715021437101</v>
      </c>
      <c r="N22" s="383">
        <f t="shared" si="130"/>
        <v>2.3132061731318849</v>
      </c>
      <c r="O22" s="383">
        <f t="shared" si="130"/>
        <v>2.2852711071621949</v>
      </c>
      <c r="P22" s="383">
        <f t="shared" si="130"/>
        <v>2.2570636742993</v>
      </c>
      <c r="Q22" s="383">
        <f t="shared" si="130"/>
        <v>2.2285812189659922</v>
      </c>
      <c r="R22" s="383">
        <f t="shared" si="130"/>
        <v>2.1998210596931851</v>
      </c>
      <c r="S22" s="383">
        <f t="shared" si="130"/>
        <v>2.1707804888674676</v>
      </c>
      <c r="T22" s="383">
        <f t="shared" si="130"/>
        <v>2.1414567724761997</v>
      </c>
      <c r="U22" s="383">
        <f t="shared" si="130"/>
        <v>2.1118471498501163</v>
      </c>
      <c r="V22" s="383">
        <f t="shared" si="130"/>
        <v>2.0819488334034295</v>
      </c>
      <c r="W22" s="383">
        <f t="shared" si="130"/>
        <v>2.0517590083713868</v>
      </c>
      <c r="X22" s="383">
        <f t="shared" si="130"/>
        <v>2.0212748325452816</v>
      </c>
      <c r="Y22" s="383">
        <f t="shared" si="130"/>
        <v>1.9904934360048725</v>
      </c>
      <c r="Z22" s="383">
        <f t="shared" si="130"/>
        <v>1.9594119208481939</v>
      </c>
      <c r="AA22" s="383">
        <f t="shared" si="130"/>
        <v>1.9280273609187379</v>
      </c>
      <c r="AB22" s="383">
        <f t="shared" si="130"/>
        <v>1.89633680152997</v>
      </c>
      <c r="AC22" s="383">
        <f t="shared" si="130"/>
        <v>1.864337259187161</v>
      </c>
      <c r="AD22" s="383">
        <f t="shared" si="130"/>
        <v>1.8320257213065101</v>
      </c>
      <c r="AE22" s="383">
        <f t="shared" si="130"/>
        <v>1.7993991459315226</v>
      </c>
      <c r="AF22" s="383">
        <f t="shared" si="130"/>
        <v>1.7664544614466289</v>
      </c>
      <c r="AG22" s="383">
        <f t="shared" si="130"/>
        <v>1.7331885662880073</v>
      </c>
      <c r="AH22" s="383">
        <f t="shared" si="130"/>
        <v>1.6995983286515897</v>
      </c>
      <c r="AI22" s="383">
        <f t="shared" si="130"/>
        <v>1.6656805861982169</v>
      </c>
      <c r="AJ22" s="383">
        <f t="shared" si="130"/>
        <v>1.6314321457559238</v>
      </c>
      <c r="AK22" s="383">
        <f t="shared" si="130"/>
        <v>1.5968497830193176</v>
      </c>
      <c r="AL22" s="383">
        <f t="shared" si="130"/>
        <v>1.5619302422460302</v>
      </c>
      <c r="AM22" s="383">
        <f t="shared" si="130"/>
        <v>1.5266702359502029</v>
      </c>
      <c r="AN22" s="383">
        <f t="shared" si="130"/>
        <v>1.491066444592992</v>
      </c>
      <c r="AO22" s="383">
        <f t="shared" si="130"/>
        <v>1.4551155162700473</v>
      </c>
      <c r="AP22" s="383">
        <f t="shared" si="130"/>
        <v>1.4188140663959545</v>
      </c>
      <c r="AQ22" s="383">
        <f t="shared" si="130"/>
        <v>1.382158677385589</v>
      </c>
      <c r="AR22" s="383">
        <f t="shared" si="130"/>
        <v>1.3451458983323725</v>
      </c>
      <c r="AS22" s="383">
        <f t="shared" si="130"/>
        <v>1.3077722446833873</v>
      </c>
      <c r="AT22" s="383">
        <f t="shared" si="130"/>
        <v>1.2700341979113243</v>
      </c>
      <c r="AU22" s="383">
        <f t="shared" si="130"/>
        <v>1.2319282051832339</v>
      </c>
      <c r="AV22" s="383">
        <f t="shared" si="130"/>
        <v>1.1934506790260444</v>
      </c>
      <c r="AW22" s="383">
        <f t="shared" si="130"/>
        <v>1.1545979969888225</v>
      </c>
      <c r="AX22" s="383">
        <f t="shared" si="130"/>
        <v>1.1153665013017375</v>
      </c>
      <c r="AY22" s="383">
        <f t="shared" si="130"/>
        <v>1.0757524985317035</v>
      </c>
      <c r="AZ22" s="383">
        <f t="shared" si="130"/>
        <v>1.0357522592346617</v>
      </c>
      <c r="BA22" s="383">
        <f t="shared" si="130"/>
        <v>0.99536201760447374</v>
      </c>
      <c r="BB22" s="383">
        <f t="shared" si="130"/>
        <v>0.95457797111839127</v>
      </c>
      <c r="BC22" s="383">
        <f t="shared" si="130"/>
        <v>0.91339628017907004</v>
      </c>
      <c r="BD22" s="383">
        <f t="shared" si="130"/>
        <v>0.87181306775308975</v>
      </c>
      <c r="BE22" s="383">
        <f t="shared" si="130"/>
        <v>0.82982441900595638</v>
      </c>
      <c r="BF22" s="383">
        <f t="shared" si="130"/>
        <v>0.78742638093353878</v>
      </c>
      <c r="BG22" s="383">
        <f t="shared" si="130"/>
        <v>0.74461496198991484</v>
      </c>
      <c r="BH22" s="383">
        <f t="shared" si="130"/>
        <v>0.70138613171159037</v>
      </c>
      <c r="BI22" s="383">
        <f t="shared" si="130"/>
        <v>0.65773582033805267</v>
      </c>
      <c r="BJ22" s="383">
        <f t="shared" si="130"/>
        <v>0.61365991842862255</v>
      </c>
      <c r="BK22" s="383">
        <f t="shared" ref="BK22:DR22" si="131">-IFERROR(IPMT($D$17/12,BK20,$E$17,$C$17),0)</f>
        <v>0.5691542764755757</v>
      </c>
      <c r="BL22" s="383">
        <f t="shared" si="131"/>
        <v>0.52421470451348662</v>
      </c>
      <c r="BM22" s="383">
        <f t="shared" si="131"/>
        <v>0.47883697172476736</v>
      </c>
      <c r="BN22" s="383">
        <f t="shared" si="131"/>
        <v>0.43301680604135784</v>
      </c>
      <c r="BO22" s="383">
        <f t="shared" si="131"/>
        <v>0.3867498937425351</v>
      </c>
      <c r="BP22" s="383">
        <f t="shared" si="131"/>
        <v>0.34003187904879889</v>
      </c>
      <c r="BQ22" s="383">
        <f t="shared" si="131"/>
        <v>0.29285836371179874</v>
      </c>
      <c r="BR22" s="383">
        <f t="shared" si="131"/>
        <v>0.24522490660026292</v>
      </c>
      <c r="BS22" s="383">
        <f t="shared" si="131"/>
        <v>0.19712702328188952</v>
      </c>
      <c r="BT22" s="383">
        <f t="shared" si="131"/>
        <v>0.14856018560116199</v>
      </c>
      <c r="BU22" s="383">
        <f t="shared" si="131"/>
        <v>9.9519821253047411E-2</v>
      </c>
      <c r="BV22" s="383">
        <f t="shared" si="131"/>
        <v>5.0001313352538677E-2</v>
      </c>
      <c r="BW22" s="383">
        <f t="shared" si="131"/>
        <v>0</v>
      </c>
      <c r="BX22" s="383">
        <f t="shared" si="131"/>
        <v>0</v>
      </c>
      <c r="BY22" s="383">
        <f t="shared" si="131"/>
        <v>0</v>
      </c>
      <c r="BZ22" s="383">
        <f t="shared" si="131"/>
        <v>0</v>
      </c>
      <c r="CA22" s="383">
        <f t="shared" si="131"/>
        <v>0</v>
      </c>
      <c r="CB22" s="383">
        <f t="shared" si="131"/>
        <v>0</v>
      </c>
      <c r="CC22" s="383">
        <f t="shared" si="131"/>
        <v>0</v>
      </c>
      <c r="CD22" s="383">
        <f t="shared" si="131"/>
        <v>0</v>
      </c>
      <c r="CE22" s="383">
        <f t="shared" si="131"/>
        <v>0</v>
      </c>
      <c r="CF22" s="383">
        <f t="shared" si="131"/>
        <v>0</v>
      </c>
      <c r="CG22" s="383">
        <f t="shared" si="131"/>
        <v>0</v>
      </c>
      <c r="CH22" s="383">
        <f t="shared" si="131"/>
        <v>0</v>
      </c>
      <c r="CI22" s="383">
        <f t="shared" si="131"/>
        <v>0</v>
      </c>
      <c r="CJ22" s="383">
        <f t="shared" si="131"/>
        <v>0</v>
      </c>
      <c r="CK22" s="383">
        <f t="shared" si="131"/>
        <v>0</v>
      </c>
      <c r="CL22" s="383">
        <f t="shared" si="131"/>
        <v>0</v>
      </c>
      <c r="CM22" s="383">
        <f t="shared" si="131"/>
        <v>0</v>
      </c>
      <c r="CN22" s="383">
        <f t="shared" si="131"/>
        <v>0</v>
      </c>
      <c r="CO22" s="383">
        <f t="shared" si="131"/>
        <v>0</v>
      </c>
      <c r="CP22" s="383">
        <f t="shared" si="131"/>
        <v>0</v>
      </c>
      <c r="CQ22" s="383">
        <f t="shared" si="131"/>
        <v>0</v>
      </c>
      <c r="CR22" s="383">
        <f t="shared" si="131"/>
        <v>0</v>
      </c>
      <c r="CS22" s="383">
        <f t="shared" si="131"/>
        <v>0</v>
      </c>
      <c r="CT22" s="383">
        <f t="shared" si="131"/>
        <v>0</v>
      </c>
      <c r="CU22" s="383">
        <f t="shared" si="131"/>
        <v>0</v>
      </c>
      <c r="CV22" s="383">
        <f t="shared" si="131"/>
        <v>0</v>
      </c>
      <c r="CW22" s="383">
        <f t="shared" si="131"/>
        <v>0</v>
      </c>
      <c r="CX22" s="383">
        <f t="shared" si="131"/>
        <v>0</v>
      </c>
      <c r="CY22" s="383">
        <f t="shared" si="131"/>
        <v>0</v>
      </c>
      <c r="CZ22" s="383">
        <f t="shared" si="131"/>
        <v>0</v>
      </c>
      <c r="DA22" s="383">
        <f t="shared" si="131"/>
        <v>0</v>
      </c>
      <c r="DB22" s="383">
        <f t="shared" si="131"/>
        <v>0</v>
      </c>
      <c r="DC22" s="383">
        <f t="shared" si="131"/>
        <v>0</v>
      </c>
      <c r="DD22" s="383">
        <f t="shared" si="131"/>
        <v>0</v>
      </c>
      <c r="DE22" s="383">
        <f t="shared" si="131"/>
        <v>0</v>
      </c>
      <c r="DF22" s="383">
        <f t="shared" si="131"/>
        <v>0</v>
      </c>
      <c r="DG22" s="383">
        <f t="shared" si="131"/>
        <v>0</v>
      </c>
      <c r="DH22" s="383">
        <f t="shared" si="131"/>
        <v>0</v>
      </c>
      <c r="DI22" s="383">
        <f t="shared" si="131"/>
        <v>0</v>
      </c>
      <c r="DJ22" s="383">
        <f t="shared" si="131"/>
        <v>0</v>
      </c>
      <c r="DK22" s="383">
        <f t="shared" si="131"/>
        <v>0</v>
      </c>
      <c r="DL22" s="383">
        <f t="shared" si="131"/>
        <v>0</v>
      </c>
      <c r="DM22" s="383">
        <f t="shared" si="131"/>
        <v>0</v>
      </c>
      <c r="DN22" s="383">
        <f t="shared" si="131"/>
        <v>0</v>
      </c>
      <c r="DO22" s="383">
        <f t="shared" si="131"/>
        <v>0</v>
      </c>
      <c r="DP22" s="383">
        <f t="shared" si="131"/>
        <v>0</v>
      </c>
      <c r="DQ22" s="383">
        <f t="shared" si="131"/>
        <v>0</v>
      </c>
      <c r="DR22" s="383">
        <f t="shared" si="131"/>
        <v>0</v>
      </c>
    </row>
    <row r="23" spans="2:122" x14ac:dyDescent="0.3">
      <c r="B23" s="382" t="s">
        <v>436</v>
      </c>
      <c r="C23" s="384">
        <f t="shared" ref="C23:D23" si="132">C21+C22</f>
        <v>5.1783411443821468</v>
      </c>
      <c r="D23" s="384">
        <f t="shared" si="132"/>
        <v>5.1783411443821468</v>
      </c>
      <c r="E23" s="384">
        <f t="shared" ref="E23:BP23" si="133">E21+E22</f>
        <v>5.1783411443821468</v>
      </c>
      <c r="F23" s="384">
        <f t="shared" si="133"/>
        <v>5.1783411443821468</v>
      </c>
      <c r="G23" s="384">
        <f t="shared" si="133"/>
        <v>5.1783411443821468</v>
      </c>
      <c r="H23" s="384">
        <f t="shared" si="133"/>
        <v>5.1783411443821468</v>
      </c>
      <c r="I23" s="384">
        <f t="shared" si="133"/>
        <v>5.1783411443821477</v>
      </c>
      <c r="J23" s="384">
        <f t="shared" si="133"/>
        <v>5.1783411443821468</v>
      </c>
      <c r="K23" s="384">
        <f t="shared" si="133"/>
        <v>5.1783411443821468</v>
      </c>
      <c r="L23" s="384">
        <f t="shared" si="133"/>
        <v>5.1783411443821477</v>
      </c>
      <c r="M23" s="384">
        <f t="shared" si="133"/>
        <v>5.1783411443821468</v>
      </c>
      <c r="N23" s="384">
        <f t="shared" si="133"/>
        <v>5.1783411443821468</v>
      </c>
      <c r="O23" s="384">
        <f t="shared" si="133"/>
        <v>5.1783411443821468</v>
      </c>
      <c r="P23" s="384">
        <f t="shared" si="133"/>
        <v>5.1783411443821468</v>
      </c>
      <c r="Q23" s="384">
        <f t="shared" si="133"/>
        <v>5.1783411443821468</v>
      </c>
      <c r="R23" s="384">
        <f t="shared" si="133"/>
        <v>5.1783411443821468</v>
      </c>
      <c r="S23" s="384">
        <f t="shared" si="133"/>
        <v>5.1783411443821468</v>
      </c>
      <c r="T23" s="384">
        <f t="shared" si="133"/>
        <v>5.1783411443821468</v>
      </c>
      <c r="U23" s="384">
        <f t="shared" si="133"/>
        <v>5.1783411443821468</v>
      </c>
      <c r="V23" s="384">
        <f t="shared" si="133"/>
        <v>5.1783411443821468</v>
      </c>
      <c r="W23" s="384">
        <f t="shared" si="133"/>
        <v>5.1783411443821468</v>
      </c>
      <c r="X23" s="384">
        <f t="shared" si="133"/>
        <v>5.1783411443821459</v>
      </c>
      <c r="Y23" s="384">
        <f t="shared" si="133"/>
        <v>5.1783411443821468</v>
      </c>
      <c r="Z23" s="384">
        <f t="shared" si="133"/>
        <v>5.1783411443821468</v>
      </c>
      <c r="AA23" s="384">
        <f t="shared" si="133"/>
        <v>5.1783411443821468</v>
      </c>
      <c r="AB23" s="384">
        <f t="shared" si="133"/>
        <v>5.1783411443821468</v>
      </c>
      <c r="AC23" s="384">
        <f t="shared" si="133"/>
        <v>5.1783411443821468</v>
      </c>
      <c r="AD23" s="384">
        <f t="shared" si="133"/>
        <v>5.1783411443821468</v>
      </c>
      <c r="AE23" s="384">
        <f t="shared" si="133"/>
        <v>5.1783411443821468</v>
      </c>
      <c r="AF23" s="384">
        <f t="shared" si="133"/>
        <v>5.1783411443821468</v>
      </c>
      <c r="AG23" s="384">
        <f t="shared" si="133"/>
        <v>5.1783411443821468</v>
      </c>
      <c r="AH23" s="384">
        <f t="shared" si="133"/>
        <v>5.1783411443821468</v>
      </c>
      <c r="AI23" s="384">
        <f t="shared" si="133"/>
        <v>5.1783411443821468</v>
      </c>
      <c r="AJ23" s="384">
        <f t="shared" si="133"/>
        <v>5.1783411443821468</v>
      </c>
      <c r="AK23" s="384">
        <f t="shared" si="133"/>
        <v>5.1783411443821468</v>
      </c>
      <c r="AL23" s="384">
        <f t="shared" si="133"/>
        <v>5.1783411443821468</v>
      </c>
      <c r="AM23" s="384">
        <f t="shared" si="133"/>
        <v>5.1783411443821468</v>
      </c>
      <c r="AN23" s="384">
        <f t="shared" si="133"/>
        <v>5.1783411443821477</v>
      </c>
      <c r="AO23" s="384">
        <f t="shared" si="133"/>
        <v>5.1783411443821468</v>
      </c>
      <c r="AP23" s="384">
        <f t="shared" si="133"/>
        <v>5.1783411443821468</v>
      </c>
      <c r="AQ23" s="384">
        <f t="shared" si="133"/>
        <v>5.1783411443821468</v>
      </c>
      <c r="AR23" s="384">
        <f t="shared" si="133"/>
        <v>5.1783411443821468</v>
      </c>
      <c r="AS23" s="384">
        <f t="shared" si="133"/>
        <v>5.1783411443821468</v>
      </c>
      <c r="AT23" s="384">
        <f t="shared" si="133"/>
        <v>5.1783411443821468</v>
      </c>
      <c r="AU23" s="384">
        <f t="shared" si="133"/>
        <v>5.1783411443821468</v>
      </c>
      <c r="AV23" s="384">
        <f t="shared" si="133"/>
        <v>5.1783411443821468</v>
      </c>
      <c r="AW23" s="384">
        <f t="shared" si="133"/>
        <v>5.1783411443821468</v>
      </c>
      <c r="AX23" s="384">
        <f t="shared" si="133"/>
        <v>5.1783411443821468</v>
      </c>
      <c r="AY23" s="384">
        <f t="shared" si="133"/>
        <v>5.1783411443821468</v>
      </c>
      <c r="AZ23" s="384">
        <f t="shared" si="133"/>
        <v>5.1783411443821468</v>
      </c>
      <c r="BA23" s="384">
        <f t="shared" si="133"/>
        <v>5.1783411443821468</v>
      </c>
      <c r="BB23" s="384">
        <f t="shared" si="133"/>
        <v>5.1783411443821468</v>
      </c>
      <c r="BC23" s="384">
        <f t="shared" si="133"/>
        <v>5.1783411443821468</v>
      </c>
      <c r="BD23" s="384">
        <f t="shared" si="133"/>
        <v>5.1783411443821468</v>
      </c>
      <c r="BE23" s="384">
        <f t="shared" si="133"/>
        <v>5.1783411443821468</v>
      </c>
      <c r="BF23" s="384">
        <f t="shared" si="133"/>
        <v>5.1783411443821477</v>
      </c>
      <c r="BG23" s="384">
        <f t="shared" si="133"/>
        <v>5.1783411443821468</v>
      </c>
      <c r="BH23" s="384">
        <f t="shared" si="133"/>
        <v>5.1783411443821468</v>
      </c>
      <c r="BI23" s="384">
        <f t="shared" si="133"/>
        <v>5.1783411443821468</v>
      </c>
      <c r="BJ23" s="384">
        <f t="shared" si="133"/>
        <v>5.1783411443821468</v>
      </c>
      <c r="BK23" s="384">
        <f t="shared" si="133"/>
        <v>5.1783411443821477</v>
      </c>
      <c r="BL23" s="384">
        <f t="shared" si="133"/>
        <v>5.1783411443821468</v>
      </c>
      <c r="BM23" s="384">
        <f t="shared" si="133"/>
        <v>5.1783411443821477</v>
      </c>
      <c r="BN23" s="384">
        <f t="shared" si="133"/>
        <v>5.1783411443821468</v>
      </c>
      <c r="BO23" s="384">
        <f t="shared" si="133"/>
        <v>5.1783411443821468</v>
      </c>
      <c r="BP23" s="384">
        <f t="shared" si="133"/>
        <v>5.1783411443821468</v>
      </c>
      <c r="BQ23" s="384">
        <f t="shared" ref="BQ23:DR23" si="134">BQ21+BQ22</f>
        <v>5.1783411443821468</v>
      </c>
      <c r="BR23" s="384">
        <f t="shared" si="134"/>
        <v>5.1783411443821468</v>
      </c>
      <c r="BS23" s="384">
        <f t="shared" si="134"/>
        <v>5.1783411443821468</v>
      </c>
      <c r="BT23" s="384">
        <f t="shared" si="134"/>
        <v>5.1783411443821468</v>
      </c>
      <c r="BU23" s="384">
        <f t="shared" si="134"/>
        <v>5.1783411443821468</v>
      </c>
      <c r="BV23" s="384">
        <f t="shared" si="134"/>
        <v>5.1783411443821468</v>
      </c>
      <c r="BW23" s="384">
        <f t="shared" si="134"/>
        <v>0</v>
      </c>
      <c r="BX23" s="384">
        <f t="shared" si="134"/>
        <v>0</v>
      </c>
      <c r="BY23" s="384">
        <f t="shared" si="134"/>
        <v>0</v>
      </c>
      <c r="BZ23" s="384">
        <f t="shared" si="134"/>
        <v>0</v>
      </c>
      <c r="CA23" s="384">
        <f t="shared" si="134"/>
        <v>0</v>
      </c>
      <c r="CB23" s="384">
        <f t="shared" si="134"/>
        <v>0</v>
      </c>
      <c r="CC23" s="384">
        <f t="shared" si="134"/>
        <v>0</v>
      </c>
      <c r="CD23" s="384">
        <f t="shared" si="134"/>
        <v>0</v>
      </c>
      <c r="CE23" s="384">
        <f t="shared" si="134"/>
        <v>0</v>
      </c>
      <c r="CF23" s="384">
        <f t="shared" si="134"/>
        <v>0</v>
      </c>
      <c r="CG23" s="384">
        <f t="shared" si="134"/>
        <v>0</v>
      </c>
      <c r="CH23" s="384">
        <f t="shared" si="134"/>
        <v>0</v>
      </c>
      <c r="CI23" s="384">
        <f t="shared" si="134"/>
        <v>0</v>
      </c>
      <c r="CJ23" s="384">
        <f t="shared" si="134"/>
        <v>0</v>
      </c>
      <c r="CK23" s="384">
        <f t="shared" si="134"/>
        <v>0</v>
      </c>
      <c r="CL23" s="384">
        <f t="shared" si="134"/>
        <v>0</v>
      </c>
      <c r="CM23" s="384">
        <f t="shared" si="134"/>
        <v>0</v>
      </c>
      <c r="CN23" s="384">
        <f t="shared" si="134"/>
        <v>0</v>
      </c>
      <c r="CO23" s="384">
        <f t="shared" si="134"/>
        <v>0</v>
      </c>
      <c r="CP23" s="384">
        <f t="shared" si="134"/>
        <v>0</v>
      </c>
      <c r="CQ23" s="384">
        <f t="shared" si="134"/>
        <v>0</v>
      </c>
      <c r="CR23" s="384">
        <f t="shared" si="134"/>
        <v>0</v>
      </c>
      <c r="CS23" s="384">
        <f t="shared" si="134"/>
        <v>0</v>
      </c>
      <c r="CT23" s="384">
        <f t="shared" si="134"/>
        <v>0</v>
      </c>
      <c r="CU23" s="384">
        <f t="shared" si="134"/>
        <v>0</v>
      </c>
      <c r="CV23" s="384">
        <f t="shared" si="134"/>
        <v>0</v>
      </c>
      <c r="CW23" s="384">
        <f t="shared" si="134"/>
        <v>0</v>
      </c>
      <c r="CX23" s="384">
        <f t="shared" si="134"/>
        <v>0</v>
      </c>
      <c r="CY23" s="384">
        <f t="shared" si="134"/>
        <v>0</v>
      </c>
      <c r="CZ23" s="384">
        <f t="shared" si="134"/>
        <v>0</v>
      </c>
      <c r="DA23" s="384">
        <f t="shared" si="134"/>
        <v>0</v>
      </c>
      <c r="DB23" s="384">
        <f t="shared" si="134"/>
        <v>0</v>
      </c>
      <c r="DC23" s="384">
        <f t="shared" si="134"/>
        <v>0</v>
      </c>
      <c r="DD23" s="384">
        <f t="shared" si="134"/>
        <v>0</v>
      </c>
      <c r="DE23" s="384">
        <f t="shared" si="134"/>
        <v>0</v>
      </c>
      <c r="DF23" s="384">
        <f t="shared" si="134"/>
        <v>0</v>
      </c>
      <c r="DG23" s="384">
        <f t="shared" si="134"/>
        <v>0</v>
      </c>
      <c r="DH23" s="384">
        <f t="shared" si="134"/>
        <v>0</v>
      </c>
      <c r="DI23" s="384">
        <f t="shared" si="134"/>
        <v>0</v>
      </c>
      <c r="DJ23" s="384">
        <f t="shared" si="134"/>
        <v>0</v>
      </c>
      <c r="DK23" s="384">
        <f t="shared" si="134"/>
        <v>0</v>
      </c>
      <c r="DL23" s="384">
        <f t="shared" si="134"/>
        <v>0</v>
      </c>
      <c r="DM23" s="384">
        <f t="shared" si="134"/>
        <v>0</v>
      </c>
      <c r="DN23" s="384">
        <f t="shared" si="134"/>
        <v>0</v>
      </c>
      <c r="DO23" s="384">
        <f t="shared" si="134"/>
        <v>0</v>
      </c>
      <c r="DP23" s="384">
        <f t="shared" si="134"/>
        <v>0</v>
      </c>
      <c r="DQ23" s="384">
        <f t="shared" si="134"/>
        <v>0</v>
      </c>
      <c r="DR23" s="384">
        <f t="shared" si="134"/>
        <v>0</v>
      </c>
    </row>
    <row r="24" spans="2:122" x14ac:dyDescent="0.3">
      <c r="B24" s="382" t="s">
        <v>187</v>
      </c>
      <c r="C24" s="383">
        <f>IF(C19=F17,C17-C21,0)</f>
        <v>264.42490885561784</v>
      </c>
      <c r="D24" s="383">
        <f>IF(D19=$F$17,$C$17-D21,C24-D21)</f>
        <v>261.824710572578</v>
      </c>
      <c r="E24" s="383">
        <f t="shared" ref="E24:BP24" si="135">IF(E19=$F$17,$C$17-E21,D24-E21)</f>
        <v>259.19916035627847</v>
      </c>
      <c r="F24" s="383">
        <f t="shared" si="135"/>
        <v>256.54801102537004</v>
      </c>
      <c r="G24" s="383">
        <f t="shared" si="135"/>
        <v>253.87101298848526</v>
      </c>
      <c r="H24" s="383">
        <f t="shared" si="135"/>
        <v>251.16791422074084</v>
      </c>
      <c r="I24" s="383">
        <f t="shared" si="135"/>
        <v>248.43846024001093</v>
      </c>
      <c r="J24" s="383">
        <f t="shared" si="135"/>
        <v>245.6823940829689</v>
      </c>
      <c r="K24" s="383">
        <f t="shared" si="135"/>
        <v>242.89945628089569</v>
      </c>
      <c r="L24" s="383">
        <f t="shared" si="135"/>
        <v>240.08938483525228</v>
      </c>
      <c r="M24" s="383">
        <f t="shared" si="135"/>
        <v>237.25191519301384</v>
      </c>
      <c r="N24" s="383">
        <f t="shared" si="135"/>
        <v>234.38678022176359</v>
      </c>
      <c r="O24" s="383">
        <f t="shared" si="135"/>
        <v>231.49371018454363</v>
      </c>
      <c r="P24" s="383">
        <f t="shared" si="135"/>
        <v>228.57243271446077</v>
      </c>
      <c r="Q24" s="383">
        <f t="shared" si="135"/>
        <v>225.62267278904463</v>
      </c>
      <c r="R24" s="383">
        <f t="shared" si="135"/>
        <v>222.64415270435566</v>
      </c>
      <c r="S24" s="383">
        <f t="shared" si="135"/>
        <v>219.63659204884098</v>
      </c>
      <c r="T24" s="383">
        <f t="shared" si="135"/>
        <v>216.59970767693503</v>
      </c>
      <c r="U24" s="383">
        <f t="shared" si="135"/>
        <v>213.53321368240299</v>
      </c>
      <c r="V24" s="383">
        <f t="shared" si="135"/>
        <v>210.43682137142426</v>
      </c>
      <c r="W24" s="383">
        <f t="shared" si="135"/>
        <v>207.31023923541349</v>
      </c>
      <c r="X24" s="383">
        <f t="shared" si="135"/>
        <v>204.15317292357662</v>
      </c>
      <c r="Y24" s="383">
        <f t="shared" si="135"/>
        <v>200.96532521519936</v>
      </c>
      <c r="Z24" s="383">
        <f t="shared" si="135"/>
        <v>197.74639599166539</v>
      </c>
      <c r="AA24" s="383">
        <f t="shared" si="135"/>
        <v>194.49608220820198</v>
      </c>
      <c r="AB24" s="383">
        <f t="shared" si="135"/>
        <v>191.21407786534979</v>
      </c>
      <c r="AC24" s="383">
        <f t="shared" si="135"/>
        <v>187.90007398015481</v>
      </c>
      <c r="AD24" s="383">
        <f t="shared" si="135"/>
        <v>184.55375855707919</v>
      </c>
      <c r="AE24" s="383">
        <f t="shared" si="135"/>
        <v>181.17481655862858</v>
      </c>
      <c r="AF24" s="383">
        <f t="shared" si="135"/>
        <v>177.76292987569306</v>
      </c>
      <c r="AG24" s="383">
        <f t="shared" si="135"/>
        <v>174.31777729759892</v>
      </c>
      <c r="AH24" s="383">
        <f t="shared" si="135"/>
        <v>170.83903448186837</v>
      </c>
      <c r="AI24" s="383">
        <f t="shared" si="135"/>
        <v>167.32637392368443</v>
      </c>
      <c r="AJ24" s="383">
        <f t="shared" si="135"/>
        <v>163.77946492505819</v>
      </c>
      <c r="AK24" s="383">
        <f t="shared" si="135"/>
        <v>160.19797356369537</v>
      </c>
      <c r="AL24" s="383">
        <f t="shared" si="135"/>
        <v>156.58156266155925</v>
      </c>
      <c r="AM24" s="383">
        <f t="shared" si="135"/>
        <v>152.92989175312729</v>
      </c>
      <c r="AN24" s="383">
        <f t="shared" si="135"/>
        <v>149.24261705333814</v>
      </c>
      <c r="AO24" s="383">
        <f t="shared" si="135"/>
        <v>145.51939142522605</v>
      </c>
      <c r="AP24" s="383">
        <f t="shared" si="135"/>
        <v>141.75986434723984</v>
      </c>
      <c r="AQ24" s="383">
        <f t="shared" si="135"/>
        <v>137.96368188024329</v>
      </c>
      <c r="AR24" s="383">
        <f t="shared" si="135"/>
        <v>134.13048663419352</v>
      </c>
      <c r="AS24" s="383">
        <f t="shared" si="135"/>
        <v>130.25991773449476</v>
      </c>
      <c r="AT24" s="383">
        <f t="shared" si="135"/>
        <v>126.35161078802395</v>
      </c>
      <c r="AU24" s="383">
        <f t="shared" si="135"/>
        <v>122.40519784882504</v>
      </c>
      <c r="AV24" s="383">
        <f t="shared" si="135"/>
        <v>118.42030738346894</v>
      </c>
      <c r="AW24" s="383">
        <f t="shared" si="135"/>
        <v>114.39656423607562</v>
      </c>
      <c r="AX24" s="383">
        <f t="shared" si="135"/>
        <v>110.33358959299521</v>
      </c>
      <c r="AY24" s="383">
        <f t="shared" si="135"/>
        <v>106.23100094714476</v>
      </c>
      <c r="AZ24" s="383">
        <f t="shared" si="135"/>
        <v>102.08841206199727</v>
      </c>
      <c r="BA24" s="383">
        <f t="shared" si="135"/>
        <v>97.905432935219608</v>
      </c>
      <c r="BB24" s="383">
        <f t="shared" si="135"/>
        <v>93.681669761955845</v>
      </c>
      <c r="BC24" s="383">
        <f t="shared" si="135"/>
        <v>89.416724897752772</v>
      </c>
      <c r="BD24" s="383">
        <f t="shared" si="135"/>
        <v>85.110196821123708</v>
      </c>
      <c r="BE24" s="383">
        <f t="shared" si="135"/>
        <v>80.761680095747522</v>
      </c>
      <c r="BF24" s="383">
        <f t="shared" si="135"/>
        <v>76.370765332298916</v>
      </c>
      <c r="BG24" s="383">
        <f t="shared" si="135"/>
        <v>71.937039149906681</v>
      </c>
      <c r="BH24" s="383">
        <f t="shared" si="135"/>
        <v>67.460084137236123</v>
      </c>
      <c r="BI24" s="383">
        <f t="shared" si="135"/>
        <v>62.939478813192025</v>
      </c>
      <c r="BJ24" s="383">
        <f t="shared" si="135"/>
        <v>58.374797587238504</v>
      </c>
      <c r="BK24" s="383">
        <f t="shared" si="135"/>
        <v>53.765610719331931</v>
      </c>
      <c r="BL24" s="383">
        <f t="shared" si="135"/>
        <v>49.111484279463269</v>
      </c>
      <c r="BM24" s="383">
        <f t="shared" si="135"/>
        <v>44.411980106805892</v>
      </c>
      <c r="BN24" s="383">
        <f t="shared" si="135"/>
        <v>39.666655768465105</v>
      </c>
      <c r="BO24" s="383">
        <f t="shared" si="135"/>
        <v>34.875064517825493</v>
      </c>
      <c r="BP24" s="383">
        <f t="shared" si="135"/>
        <v>30.036755252492146</v>
      </c>
      <c r="BQ24" s="383">
        <f t="shared" ref="BQ24:DR24" si="136">IF(BQ19=$F$17,$C$17-BQ21,BP24-BQ21)</f>
        <v>25.151272471821798</v>
      </c>
      <c r="BR24" s="383">
        <f t="shared" si="136"/>
        <v>20.218156234039913</v>
      </c>
      <c r="BS24" s="383">
        <f t="shared" si="136"/>
        <v>15.236942112939655</v>
      </c>
      <c r="BT24" s="383">
        <f t="shared" si="136"/>
        <v>10.207161154158669</v>
      </c>
      <c r="BU24" s="383">
        <f t="shared" si="136"/>
        <v>5.12833983102957</v>
      </c>
      <c r="BV24" s="383">
        <f t="shared" si="136"/>
        <v>-3.8191672047105385E-14</v>
      </c>
      <c r="BW24" s="383">
        <f t="shared" si="136"/>
        <v>-3.8191672047105385E-14</v>
      </c>
      <c r="BX24" s="383">
        <f t="shared" si="136"/>
        <v>-3.8191672047105385E-14</v>
      </c>
      <c r="BY24" s="383">
        <f t="shared" si="136"/>
        <v>-3.8191672047105385E-14</v>
      </c>
      <c r="BZ24" s="383">
        <f t="shared" si="136"/>
        <v>-3.8191672047105385E-14</v>
      </c>
      <c r="CA24" s="383">
        <f t="shared" si="136"/>
        <v>-3.8191672047105385E-14</v>
      </c>
      <c r="CB24" s="383">
        <f t="shared" si="136"/>
        <v>-3.8191672047105385E-14</v>
      </c>
      <c r="CC24" s="383">
        <f t="shared" si="136"/>
        <v>-3.8191672047105385E-14</v>
      </c>
      <c r="CD24" s="383">
        <f t="shared" si="136"/>
        <v>-3.8191672047105385E-14</v>
      </c>
      <c r="CE24" s="383">
        <f t="shared" si="136"/>
        <v>-3.8191672047105385E-14</v>
      </c>
      <c r="CF24" s="383">
        <f t="shared" si="136"/>
        <v>-3.8191672047105385E-14</v>
      </c>
      <c r="CG24" s="383">
        <f t="shared" si="136"/>
        <v>-3.8191672047105385E-14</v>
      </c>
      <c r="CH24" s="383">
        <f t="shared" si="136"/>
        <v>-3.8191672047105385E-14</v>
      </c>
      <c r="CI24" s="383">
        <f t="shared" si="136"/>
        <v>-3.8191672047105385E-14</v>
      </c>
      <c r="CJ24" s="383">
        <f t="shared" si="136"/>
        <v>-3.8191672047105385E-14</v>
      </c>
      <c r="CK24" s="383">
        <f t="shared" si="136"/>
        <v>-3.8191672047105385E-14</v>
      </c>
      <c r="CL24" s="383">
        <f t="shared" si="136"/>
        <v>-3.8191672047105385E-14</v>
      </c>
      <c r="CM24" s="383">
        <f t="shared" si="136"/>
        <v>-3.8191672047105385E-14</v>
      </c>
      <c r="CN24" s="383">
        <f t="shared" si="136"/>
        <v>-3.8191672047105385E-14</v>
      </c>
      <c r="CO24" s="383">
        <f t="shared" si="136"/>
        <v>-3.8191672047105385E-14</v>
      </c>
      <c r="CP24" s="383">
        <f t="shared" si="136"/>
        <v>-3.8191672047105385E-14</v>
      </c>
      <c r="CQ24" s="383">
        <f t="shared" si="136"/>
        <v>-3.8191672047105385E-14</v>
      </c>
      <c r="CR24" s="383">
        <f t="shared" si="136"/>
        <v>-3.8191672047105385E-14</v>
      </c>
      <c r="CS24" s="383">
        <f t="shared" si="136"/>
        <v>-3.8191672047105385E-14</v>
      </c>
      <c r="CT24" s="383">
        <f t="shared" si="136"/>
        <v>-3.8191672047105385E-14</v>
      </c>
      <c r="CU24" s="383">
        <f t="shared" si="136"/>
        <v>-3.8191672047105385E-14</v>
      </c>
      <c r="CV24" s="383">
        <f t="shared" si="136"/>
        <v>-3.8191672047105385E-14</v>
      </c>
      <c r="CW24" s="383">
        <f t="shared" si="136"/>
        <v>-3.8191672047105385E-14</v>
      </c>
      <c r="CX24" s="383">
        <f t="shared" si="136"/>
        <v>-3.8191672047105385E-14</v>
      </c>
      <c r="CY24" s="383">
        <f t="shared" si="136"/>
        <v>-3.8191672047105385E-14</v>
      </c>
      <c r="CZ24" s="383">
        <f t="shared" si="136"/>
        <v>-3.8191672047105385E-14</v>
      </c>
      <c r="DA24" s="383">
        <f t="shared" si="136"/>
        <v>-3.8191672047105385E-14</v>
      </c>
      <c r="DB24" s="383">
        <f t="shared" si="136"/>
        <v>-3.8191672047105385E-14</v>
      </c>
      <c r="DC24" s="383">
        <f t="shared" si="136"/>
        <v>-3.8191672047105385E-14</v>
      </c>
      <c r="DD24" s="383">
        <f t="shared" si="136"/>
        <v>-3.8191672047105385E-14</v>
      </c>
      <c r="DE24" s="383">
        <f t="shared" si="136"/>
        <v>-3.8191672047105385E-14</v>
      </c>
      <c r="DF24" s="383">
        <f t="shared" si="136"/>
        <v>-3.8191672047105385E-14</v>
      </c>
      <c r="DG24" s="383">
        <f t="shared" si="136"/>
        <v>-3.8191672047105385E-14</v>
      </c>
      <c r="DH24" s="383">
        <f t="shared" si="136"/>
        <v>-3.8191672047105385E-14</v>
      </c>
      <c r="DI24" s="383">
        <f t="shared" si="136"/>
        <v>-3.8191672047105385E-14</v>
      </c>
      <c r="DJ24" s="383">
        <f t="shared" si="136"/>
        <v>-3.8191672047105385E-14</v>
      </c>
      <c r="DK24" s="383">
        <f t="shared" si="136"/>
        <v>-3.8191672047105385E-14</v>
      </c>
      <c r="DL24" s="383">
        <f t="shared" si="136"/>
        <v>-3.8191672047105385E-14</v>
      </c>
      <c r="DM24" s="383">
        <f t="shared" si="136"/>
        <v>-3.8191672047105385E-14</v>
      </c>
      <c r="DN24" s="383">
        <f t="shared" si="136"/>
        <v>-3.8191672047105385E-14</v>
      </c>
      <c r="DO24" s="383">
        <f t="shared" si="136"/>
        <v>-3.8191672047105385E-14</v>
      </c>
      <c r="DP24" s="383">
        <f t="shared" si="136"/>
        <v>-3.8191672047105385E-14</v>
      </c>
      <c r="DQ24" s="383">
        <f t="shared" si="136"/>
        <v>-3.8191672047105385E-14</v>
      </c>
      <c r="DR24" s="383">
        <f t="shared" si="136"/>
        <v>-3.8191672047105385E-14</v>
      </c>
    </row>
    <row r="25" spans="2:122" x14ac:dyDescent="0.3">
      <c r="B25" s="382" t="s">
        <v>437</v>
      </c>
      <c r="C25" s="383">
        <f>IF(C24=0,0,SUM(D21:O21))</f>
        <v>32.931198671074242</v>
      </c>
      <c r="D25" s="383">
        <f>IF(D24=0,0,SUM(E21:P21))</f>
        <v>33.252277858117218</v>
      </c>
      <c r="E25" s="383">
        <f t="shared" ref="E25:BP25" si="137">IF(E24=0,0,SUM(F21:Q21))</f>
        <v>33.576487567233862</v>
      </c>
      <c r="F25" s="383">
        <f t="shared" si="137"/>
        <v>33.90385832101439</v>
      </c>
      <c r="G25" s="383">
        <f t="shared" si="137"/>
        <v>34.234420939644288</v>
      </c>
      <c r="H25" s="383">
        <f t="shared" si="137"/>
        <v>34.568206543805815</v>
      </c>
      <c r="I25" s="383">
        <f t="shared" si="137"/>
        <v>34.905246557607924</v>
      </c>
      <c r="J25" s="383">
        <f t="shared" si="137"/>
        <v>35.245572711544597</v>
      </c>
      <c r="K25" s="383">
        <f t="shared" si="137"/>
        <v>35.589217045482165</v>
      </c>
      <c r="L25" s="383">
        <f t="shared" si="137"/>
        <v>35.936211911675613</v>
      </c>
      <c r="M25" s="383">
        <f t="shared" si="137"/>
        <v>36.286589977814458</v>
      </c>
      <c r="N25" s="383">
        <f t="shared" si="137"/>
        <v>36.640384230098142</v>
      </c>
      <c r="O25" s="383">
        <f t="shared" si="137"/>
        <v>36.997627976341597</v>
      </c>
      <c r="P25" s="383">
        <f t="shared" si="137"/>
        <v>37.358354849110924</v>
      </c>
      <c r="Q25" s="383">
        <f t="shared" si="137"/>
        <v>37.722598808889757</v>
      </c>
      <c r="R25" s="383">
        <f t="shared" si="137"/>
        <v>38.090394147276434</v>
      </c>
      <c r="S25" s="383">
        <f t="shared" si="137"/>
        <v>38.461775490212375</v>
      </c>
      <c r="T25" s="383">
        <f t="shared" si="137"/>
        <v>38.836777801241951</v>
      </c>
      <c r="U25" s="383">
        <f t="shared" si="137"/>
        <v>39.215436384804057</v>
      </c>
      <c r="V25" s="383">
        <f t="shared" si="137"/>
        <v>39.597786889555898</v>
      </c>
      <c r="W25" s="383">
        <f t="shared" si="137"/>
        <v>39.983865311729069</v>
      </c>
      <c r="X25" s="383">
        <f t="shared" si="137"/>
        <v>40.373707998518427</v>
      </c>
      <c r="Y25" s="383">
        <f t="shared" si="137"/>
        <v>40.767351651503979</v>
      </c>
      <c r="Z25" s="383">
        <f t="shared" si="137"/>
        <v>41.164833330106141</v>
      </c>
      <c r="AA25" s="383">
        <f t="shared" si="137"/>
        <v>41.566190455074683</v>
      </c>
      <c r="AB25" s="383">
        <f t="shared" si="137"/>
        <v>41.971460812011657</v>
      </c>
      <c r="AC25" s="383">
        <f t="shared" si="137"/>
        <v>42.380682554928768</v>
      </c>
      <c r="AD25" s="383">
        <f t="shared" si="137"/>
        <v>42.793894209839323</v>
      </c>
      <c r="AE25" s="383">
        <f t="shared" si="137"/>
        <v>43.211134678385257</v>
      </c>
      <c r="AF25" s="383">
        <f t="shared" si="137"/>
        <v>43.632443241499516</v>
      </c>
      <c r="AG25" s="383">
        <f t="shared" si="137"/>
        <v>44.057859563104138</v>
      </c>
      <c r="AH25" s="383">
        <f t="shared" si="137"/>
        <v>44.487423693844406</v>
      </c>
      <c r="AI25" s="383">
        <f t="shared" si="137"/>
        <v>44.921176074859389</v>
      </c>
      <c r="AJ25" s="383">
        <f t="shared" si="137"/>
        <v>45.359157541589262</v>
      </c>
      <c r="AK25" s="383">
        <f t="shared" si="137"/>
        <v>45.801409327619766</v>
      </c>
      <c r="AL25" s="383">
        <f t="shared" si="137"/>
        <v>46.247973068564058</v>
      </c>
      <c r="AM25" s="383">
        <f t="shared" si="137"/>
        <v>46.698890805982558</v>
      </c>
      <c r="AN25" s="383">
        <f t="shared" si="137"/>
        <v>47.154204991340883</v>
      </c>
      <c r="AO25" s="383">
        <f t="shared" si="137"/>
        <v>47.613958490006461</v>
      </c>
      <c r="AP25" s="383">
        <f t="shared" si="137"/>
        <v>48.078194585284024</v>
      </c>
      <c r="AQ25" s="383">
        <f t="shared" si="137"/>
        <v>48.546956982490542</v>
      </c>
      <c r="AR25" s="383">
        <f t="shared" si="137"/>
        <v>49.020289813069816</v>
      </c>
      <c r="AS25" s="383">
        <f t="shared" si="137"/>
        <v>49.498237638747256</v>
      </c>
      <c r="AT25" s="383">
        <f t="shared" si="137"/>
        <v>49.980845455725031</v>
      </c>
      <c r="AU25" s="383">
        <f t="shared" si="137"/>
        <v>50.468158698918359</v>
      </c>
      <c r="AV25" s="383">
        <f t="shared" si="137"/>
        <v>50.960223246232822</v>
      </c>
      <c r="AW25" s="383">
        <f t="shared" si="137"/>
        <v>51.45708542288358</v>
      </c>
      <c r="AX25" s="383">
        <f t="shared" si="137"/>
        <v>51.958792005756692</v>
      </c>
      <c r="AY25" s="383">
        <f t="shared" si="137"/>
        <v>52.465390227812833</v>
      </c>
      <c r="AZ25" s="383">
        <f t="shared" si="137"/>
        <v>52.976927782534005</v>
      </c>
      <c r="BA25" s="383">
        <f t="shared" si="137"/>
        <v>53.493452828413702</v>
      </c>
      <c r="BB25" s="383">
        <f t="shared" si="137"/>
        <v>54.01501399349074</v>
      </c>
      <c r="BC25" s="383">
        <f t="shared" si="137"/>
        <v>54.541660379927272</v>
      </c>
      <c r="BD25" s="383">
        <f t="shared" si="137"/>
        <v>55.073441568631566</v>
      </c>
      <c r="BE25" s="383">
        <f t="shared" si="137"/>
        <v>55.610407623925724</v>
      </c>
      <c r="BF25" s="383">
        <f t="shared" si="137"/>
        <v>56.152609098259006</v>
      </c>
      <c r="BG25" s="383">
        <f t="shared" si="137"/>
        <v>56.70009703696703</v>
      </c>
      <c r="BH25" s="383">
        <f t="shared" si="137"/>
        <v>57.252922983077461</v>
      </c>
      <c r="BI25" s="383">
        <f t="shared" si="137"/>
        <v>57.811138982162461</v>
      </c>
      <c r="BJ25" s="383">
        <f t="shared" si="137"/>
        <v>58.37479758723854</v>
      </c>
      <c r="BK25" s="383">
        <f t="shared" si="137"/>
        <v>53.765610719331967</v>
      </c>
      <c r="BL25" s="383">
        <f t="shared" si="137"/>
        <v>49.111484279463305</v>
      </c>
      <c r="BM25" s="383">
        <f t="shared" si="137"/>
        <v>44.411980106805927</v>
      </c>
      <c r="BN25" s="383">
        <f t="shared" si="137"/>
        <v>39.666655768465141</v>
      </c>
      <c r="BO25" s="383">
        <f t="shared" si="137"/>
        <v>34.875064517825528</v>
      </c>
      <c r="BP25" s="383">
        <f t="shared" si="137"/>
        <v>30.036755252492185</v>
      </c>
      <c r="BQ25" s="383">
        <f t="shared" ref="BQ25:DR25" si="138">IF(BQ24=0,0,SUM(BR21:CC21))</f>
        <v>25.151272471821834</v>
      </c>
      <c r="BR25" s="383">
        <f t="shared" si="138"/>
        <v>20.218156234039952</v>
      </c>
      <c r="BS25" s="383">
        <f t="shared" si="138"/>
        <v>15.236942112939692</v>
      </c>
      <c r="BT25" s="383">
        <f t="shared" si="138"/>
        <v>10.207161154158708</v>
      </c>
      <c r="BU25" s="383">
        <f t="shared" si="138"/>
        <v>5.1283398310296082</v>
      </c>
      <c r="BV25" s="383">
        <f t="shared" si="138"/>
        <v>0</v>
      </c>
      <c r="BW25" s="383">
        <f t="shared" si="138"/>
        <v>0</v>
      </c>
      <c r="BX25" s="383">
        <f t="shared" si="138"/>
        <v>0</v>
      </c>
      <c r="BY25" s="383">
        <f t="shared" si="138"/>
        <v>0</v>
      </c>
      <c r="BZ25" s="383">
        <f t="shared" si="138"/>
        <v>0</v>
      </c>
      <c r="CA25" s="383">
        <f t="shared" si="138"/>
        <v>0</v>
      </c>
      <c r="CB25" s="383">
        <f t="shared" si="138"/>
        <v>0</v>
      </c>
      <c r="CC25" s="383">
        <f t="shared" si="138"/>
        <v>0</v>
      </c>
      <c r="CD25" s="383">
        <f t="shared" si="138"/>
        <v>0</v>
      </c>
      <c r="CE25" s="383">
        <f t="shared" si="138"/>
        <v>0</v>
      </c>
      <c r="CF25" s="383">
        <f t="shared" si="138"/>
        <v>0</v>
      </c>
      <c r="CG25" s="383">
        <f t="shared" si="138"/>
        <v>0</v>
      </c>
      <c r="CH25" s="383">
        <f t="shared" si="138"/>
        <v>0</v>
      </c>
      <c r="CI25" s="383">
        <f t="shared" si="138"/>
        <v>0</v>
      </c>
      <c r="CJ25" s="383">
        <f t="shared" si="138"/>
        <v>0</v>
      </c>
      <c r="CK25" s="383">
        <f t="shared" si="138"/>
        <v>0</v>
      </c>
      <c r="CL25" s="383">
        <f t="shared" si="138"/>
        <v>0</v>
      </c>
      <c r="CM25" s="383">
        <f t="shared" si="138"/>
        <v>0</v>
      </c>
      <c r="CN25" s="383">
        <f t="shared" si="138"/>
        <v>0</v>
      </c>
      <c r="CO25" s="383">
        <f t="shared" si="138"/>
        <v>0</v>
      </c>
      <c r="CP25" s="383">
        <f t="shared" si="138"/>
        <v>0</v>
      </c>
      <c r="CQ25" s="383">
        <f t="shared" si="138"/>
        <v>0</v>
      </c>
      <c r="CR25" s="383">
        <f t="shared" si="138"/>
        <v>0</v>
      </c>
      <c r="CS25" s="383">
        <f t="shared" si="138"/>
        <v>0</v>
      </c>
      <c r="CT25" s="383">
        <f t="shared" si="138"/>
        <v>0</v>
      </c>
      <c r="CU25" s="383">
        <f t="shared" si="138"/>
        <v>0</v>
      </c>
      <c r="CV25" s="383">
        <f t="shared" si="138"/>
        <v>0</v>
      </c>
      <c r="CW25" s="383">
        <f t="shared" si="138"/>
        <v>0</v>
      </c>
      <c r="CX25" s="383">
        <f t="shared" si="138"/>
        <v>0</v>
      </c>
      <c r="CY25" s="383">
        <f t="shared" si="138"/>
        <v>0</v>
      </c>
      <c r="CZ25" s="383">
        <f t="shared" si="138"/>
        <v>0</v>
      </c>
      <c r="DA25" s="383">
        <f t="shared" si="138"/>
        <v>0</v>
      </c>
      <c r="DB25" s="383">
        <f t="shared" si="138"/>
        <v>0</v>
      </c>
      <c r="DC25" s="383">
        <f t="shared" si="138"/>
        <v>0</v>
      </c>
      <c r="DD25" s="383">
        <f t="shared" si="138"/>
        <v>0</v>
      </c>
      <c r="DE25" s="383">
        <f t="shared" si="138"/>
        <v>0</v>
      </c>
      <c r="DF25" s="383">
        <f t="shared" si="138"/>
        <v>0</v>
      </c>
      <c r="DG25" s="383">
        <f t="shared" si="138"/>
        <v>0</v>
      </c>
      <c r="DH25" s="383">
        <f t="shared" si="138"/>
        <v>0</v>
      </c>
      <c r="DI25" s="383">
        <f t="shared" si="138"/>
        <v>0</v>
      </c>
      <c r="DJ25" s="383">
        <f t="shared" si="138"/>
        <v>0</v>
      </c>
      <c r="DK25" s="383">
        <f t="shared" si="138"/>
        <v>0</v>
      </c>
      <c r="DL25" s="383">
        <f t="shared" si="138"/>
        <v>0</v>
      </c>
      <c r="DM25" s="383">
        <f t="shared" si="138"/>
        <v>0</v>
      </c>
      <c r="DN25" s="383">
        <f t="shared" si="138"/>
        <v>0</v>
      </c>
      <c r="DO25" s="383">
        <f t="shared" si="138"/>
        <v>0</v>
      </c>
      <c r="DP25" s="383">
        <f t="shared" si="138"/>
        <v>0</v>
      </c>
      <c r="DQ25" s="383">
        <f t="shared" si="138"/>
        <v>0</v>
      </c>
      <c r="DR25" s="383">
        <f t="shared" si="138"/>
        <v>0</v>
      </c>
    </row>
    <row r="26" spans="2:122" x14ac:dyDescent="0.3">
      <c r="B26" s="382" t="s">
        <v>438</v>
      </c>
      <c r="C26" s="383">
        <f>IF(C24-C25&lt;0,0,C24-C25)</f>
        <v>231.4937101845436</v>
      </c>
      <c r="D26" s="383">
        <f t="shared" ref="D26" si="139">IF(D24-D25&lt;0,0,D24-D25)</f>
        <v>228.57243271446077</v>
      </c>
      <c r="E26" s="383">
        <f t="shared" ref="E26:BP26" si="140">IF(E24-E25&lt;0,0,E24-E25)</f>
        <v>225.6226727890446</v>
      </c>
      <c r="F26" s="383">
        <f t="shared" si="140"/>
        <v>222.64415270435566</v>
      </c>
      <c r="G26" s="383">
        <f t="shared" si="140"/>
        <v>219.63659204884098</v>
      </c>
      <c r="H26" s="383">
        <f t="shared" si="140"/>
        <v>216.59970767693503</v>
      </c>
      <c r="I26" s="383">
        <f t="shared" si="140"/>
        <v>213.53321368240302</v>
      </c>
      <c r="J26" s="383">
        <f t="shared" si="140"/>
        <v>210.43682137142429</v>
      </c>
      <c r="K26" s="383">
        <f t="shared" si="140"/>
        <v>207.31023923541352</v>
      </c>
      <c r="L26" s="383">
        <f t="shared" si="140"/>
        <v>204.15317292357668</v>
      </c>
      <c r="M26" s="383">
        <f t="shared" si="140"/>
        <v>200.96532521519939</v>
      </c>
      <c r="N26" s="383">
        <f t="shared" si="140"/>
        <v>197.74639599166545</v>
      </c>
      <c r="O26" s="383">
        <f t="shared" si="140"/>
        <v>194.49608220820204</v>
      </c>
      <c r="P26" s="383">
        <f t="shared" si="140"/>
        <v>191.21407786534985</v>
      </c>
      <c r="Q26" s="383">
        <f t="shared" si="140"/>
        <v>187.90007398015487</v>
      </c>
      <c r="R26" s="383">
        <f t="shared" si="140"/>
        <v>184.55375855707922</v>
      </c>
      <c r="S26" s="383">
        <f t="shared" si="140"/>
        <v>181.17481655862861</v>
      </c>
      <c r="T26" s="383">
        <f t="shared" si="140"/>
        <v>177.76292987569309</v>
      </c>
      <c r="U26" s="383">
        <f t="shared" si="140"/>
        <v>174.31777729759892</v>
      </c>
      <c r="V26" s="383">
        <f t="shared" si="140"/>
        <v>170.83903448186837</v>
      </c>
      <c r="W26" s="383">
        <f t="shared" si="140"/>
        <v>167.32637392368443</v>
      </c>
      <c r="X26" s="383">
        <f t="shared" si="140"/>
        <v>163.77946492505819</v>
      </c>
      <c r="Y26" s="383">
        <f t="shared" si="140"/>
        <v>160.19797356369537</v>
      </c>
      <c r="Z26" s="383">
        <f t="shared" si="140"/>
        <v>156.58156266155925</v>
      </c>
      <c r="AA26" s="383">
        <f t="shared" si="140"/>
        <v>152.92989175312729</v>
      </c>
      <c r="AB26" s="383">
        <f t="shared" si="140"/>
        <v>149.24261705333814</v>
      </c>
      <c r="AC26" s="383">
        <f t="shared" si="140"/>
        <v>145.51939142522605</v>
      </c>
      <c r="AD26" s="383">
        <f t="shared" si="140"/>
        <v>141.75986434723987</v>
      </c>
      <c r="AE26" s="383">
        <f t="shared" si="140"/>
        <v>137.96368188024331</v>
      </c>
      <c r="AF26" s="383">
        <f t="shared" si="140"/>
        <v>134.13048663419355</v>
      </c>
      <c r="AG26" s="383">
        <f t="shared" si="140"/>
        <v>130.25991773449479</v>
      </c>
      <c r="AH26" s="383">
        <f t="shared" si="140"/>
        <v>126.35161078802396</v>
      </c>
      <c r="AI26" s="383">
        <f t="shared" si="140"/>
        <v>122.40519784882504</v>
      </c>
      <c r="AJ26" s="383">
        <f t="shared" si="140"/>
        <v>118.42030738346892</v>
      </c>
      <c r="AK26" s="383">
        <f t="shared" si="140"/>
        <v>114.3965642360756</v>
      </c>
      <c r="AL26" s="383">
        <f t="shared" si="140"/>
        <v>110.3335895929952</v>
      </c>
      <c r="AM26" s="383">
        <f t="shared" si="140"/>
        <v>106.23100094714474</v>
      </c>
      <c r="AN26" s="383">
        <f t="shared" si="140"/>
        <v>102.08841206199725</v>
      </c>
      <c r="AO26" s="383">
        <f t="shared" si="140"/>
        <v>97.905432935219579</v>
      </c>
      <c r="AP26" s="383">
        <f t="shared" si="140"/>
        <v>93.681669761955817</v>
      </c>
      <c r="AQ26" s="383">
        <f t="shared" si="140"/>
        <v>89.416724897752744</v>
      </c>
      <c r="AR26" s="383">
        <f t="shared" si="140"/>
        <v>85.110196821123708</v>
      </c>
      <c r="AS26" s="383">
        <f t="shared" si="140"/>
        <v>80.761680095747508</v>
      </c>
      <c r="AT26" s="383">
        <f t="shared" si="140"/>
        <v>76.370765332298916</v>
      </c>
      <c r="AU26" s="383">
        <f t="shared" si="140"/>
        <v>71.937039149906681</v>
      </c>
      <c r="AV26" s="383">
        <f t="shared" si="140"/>
        <v>67.460084137236123</v>
      </c>
      <c r="AW26" s="383">
        <f t="shared" si="140"/>
        <v>62.939478813192039</v>
      </c>
      <c r="AX26" s="383">
        <f t="shared" si="140"/>
        <v>58.374797587238518</v>
      </c>
      <c r="AY26" s="383">
        <f t="shared" si="140"/>
        <v>53.765610719331931</v>
      </c>
      <c r="AZ26" s="383">
        <f t="shared" si="140"/>
        <v>49.111484279463269</v>
      </c>
      <c r="BA26" s="383">
        <f t="shared" si="140"/>
        <v>44.411980106805906</v>
      </c>
      <c r="BB26" s="383">
        <f t="shared" si="140"/>
        <v>39.666655768465105</v>
      </c>
      <c r="BC26" s="383">
        <f t="shared" si="140"/>
        <v>34.8750645178255</v>
      </c>
      <c r="BD26" s="383">
        <f t="shared" si="140"/>
        <v>30.036755252492142</v>
      </c>
      <c r="BE26" s="383">
        <f t="shared" si="140"/>
        <v>25.151272471821798</v>
      </c>
      <c r="BF26" s="383">
        <f t="shared" si="140"/>
        <v>20.21815623403991</v>
      </c>
      <c r="BG26" s="383">
        <f t="shared" si="140"/>
        <v>15.236942112939651</v>
      </c>
      <c r="BH26" s="383">
        <f t="shared" si="140"/>
        <v>10.207161154158662</v>
      </c>
      <c r="BI26" s="383">
        <f t="shared" si="140"/>
        <v>5.1283398310295638</v>
      </c>
      <c r="BJ26" s="383">
        <f t="shared" si="140"/>
        <v>0</v>
      </c>
      <c r="BK26" s="383">
        <f t="shared" si="140"/>
        <v>0</v>
      </c>
      <c r="BL26" s="383">
        <f t="shared" si="140"/>
        <v>0</v>
      </c>
      <c r="BM26" s="383">
        <f t="shared" si="140"/>
        <v>0</v>
      </c>
      <c r="BN26" s="383">
        <f t="shared" si="140"/>
        <v>0</v>
      </c>
      <c r="BO26" s="383">
        <f t="shared" si="140"/>
        <v>0</v>
      </c>
      <c r="BP26" s="383">
        <f t="shared" si="140"/>
        <v>0</v>
      </c>
      <c r="BQ26" s="383">
        <f t="shared" ref="BQ26:DR26" si="141">IF(BQ24-BQ25&lt;0,0,BQ24-BQ25)</f>
        <v>0</v>
      </c>
      <c r="BR26" s="383">
        <f t="shared" si="141"/>
        <v>0</v>
      </c>
      <c r="BS26" s="383">
        <f t="shared" si="141"/>
        <v>0</v>
      </c>
      <c r="BT26" s="383">
        <f t="shared" si="141"/>
        <v>0</v>
      </c>
      <c r="BU26" s="383">
        <f t="shared" si="141"/>
        <v>0</v>
      </c>
      <c r="BV26" s="383">
        <f t="shared" si="141"/>
        <v>0</v>
      </c>
      <c r="BW26" s="383">
        <f t="shared" si="141"/>
        <v>0</v>
      </c>
      <c r="BX26" s="383">
        <f t="shared" si="141"/>
        <v>0</v>
      </c>
      <c r="BY26" s="383">
        <f t="shared" si="141"/>
        <v>0</v>
      </c>
      <c r="BZ26" s="383">
        <f t="shared" si="141"/>
        <v>0</v>
      </c>
      <c r="CA26" s="383">
        <f t="shared" si="141"/>
        <v>0</v>
      </c>
      <c r="CB26" s="383">
        <f t="shared" si="141"/>
        <v>0</v>
      </c>
      <c r="CC26" s="383">
        <f t="shared" si="141"/>
        <v>0</v>
      </c>
      <c r="CD26" s="383">
        <f t="shared" si="141"/>
        <v>0</v>
      </c>
      <c r="CE26" s="383">
        <f t="shared" si="141"/>
        <v>0</v>
      </c>
      <c r="CF26" s="383">
        <f t="shared" si="141"/>
        <v>0</v>
      </c>
      <c r="CG26" s="383">
        <f t="shared" si="141"/>
        <v>0</v>
      </c>
      <c r="CH26" s="383">
        <f t="shared" si="141"/>
        <v>0</v>
      </c>
      <c r="CI26" s="383">
        <f t="shared" si="141"/>
        <v>0</v>
      </c>
      <c r="CJ26" s="383">
        <f t="shared" si="141"/>
        <v>0</v>
      </c>
      <c r="CK26" s="383">
        <f t="shared" si="141"/>
        <v>0</v>
      </c>
      <c r="CL26" s="383">
        <f t="shared" si="141"/>
        <v>0</v>
      </c>
      <c r="CM26" s="383">
        <f t="shared" si="141"/>
        <v>0</v>
      </c>
      <c r="CN26" s="383">
        <f t="shared" si="141"/>
        <v>0</v>
      </c>
      <c r="CO26" s="383">
        <f t="shared" si="141"/>
        <v>0</v>
      </c>
      <c r="CP26" s="383">
        <f t="shared" si="141"/>
        <v>0</v>
      </c>
      <c r="CQ26" s="383">
        <f t="shared" si="141"/>
        <v>0</v>
      </c>
      <c r="CR26" s="383">
        <f t="shared" si="141"/>
        <v>0</v>
      </c>
      <c r="CS26" s="383">
        <f t="shared" si="141"/>
        <v>0</v>
      </c>
      <c r="CT26" s="383">
        <f t="shared" si="141"/>
        <v>0</v>
      </c>
      <c r="CU26" s="383">
        <f t="shared" si="141"/>
        <v>0</v>
      </c>
      <c r="CV26" s="383">
        <f t="shared" si="141"/>
        <v>0</v>
      </c>
      <c r="CW26" s="383">
        <f t="shared" si="141"/>
        <v>0</v>
      </c>
      <c r="CX26" s="383">
        <f t="shared" si="141"/>
        <v>0</v>
      </c>
      <c r="CY26" s="383">
        <f t="shared" si="141"/>
        <v>0</v>
      </c>
      <c r="CZ26" s="383">
        <f t="shared" si="141"/>
        <v>0</v>
      </c>
      <c r="DA26" s="383">
        <f t="shared" si="141"/>
        <v>0</v>
      </c>
      <c r="DB26" s="383">
        <f t="shared" si="141"/>
        <v>0</v>
      </c>
      <c r="DC26" s="383">
        <f t="shared" si="141"/>
        <v>0</v>
      </c>
      <c r="DD26" s="383">
        <f t="shared" si="141"/>
        <v>0</v>
      </c>
      <c r="DE26" s="383">
        <f t="shared" si="141"/>
        <v>0</v>
      </c>
      <c r="DF26" s="383">
        <f t="shared" si="141"/>
        <v>0</v>
      </c>
      <c r="DG26" s="383">
        <f t="shared" si="141"/>
        <v>0</v>
      </c>
      <c r="DH26" s="383">
        <f t="shared" si="141"/>
        <v>0</v>
      </c>
      <c r="DI26" s="383">
        <f t="shared" si="141"/>
        <v>0</v>
      </c>
      <c r="DJ26" s="383">
        <f t="shared" si="141"/>
        <v>0</v>
      </c>
      <c r="DK26" s="383">
        <f t="shared" si="141"/>
        <v>0</v>
      </c>
      <c r="DL26" s="383">
        <f t="shared" si="141"/>
        <v>0</v>
      </c>
      <c r="DM26" s="383">
        <f t="shared" si="141"/>
        <v>0</v>
      </c>
      <c r="DN26" s="383">
        <f t="shared" si="141"/>
        <v>0</v>
      </c>
      <c r="DO26" s="383">
        <f t="shared" si="141"/>
        <v>0</v>
      </c>
      <c r="DP26" s="383">
        <f t="shared" si="141"/>
        <v>0</v>
      </c>
      <c r="DQ26" s="383">
        <f t="shared" si="141"/>
        <v>0</v>
      </c>
      <c r="DR26" s="383">
        <f t="shared" si="141"/>
        <v>0</v>
      </c>
    </row>
    <row r="28" spans="2:122" x14ac:dyDescent="0.3">
      <c r="B28" s="181" t="s">
        <v>428</v>
      </c>
      <c r="C28" s="182" t="s">
        <v>275</v>
      </c>
      <c r="D28" s="182" t="s">
        <v>429</v>
      </c>
      <c r="E28" s="182" t="s">
        <v>430</v>
      </c>
      <c r="F28" s="182" t="s">
        <v>431</v>
      </c>
      <c r="G28" s="182" t="s">
        <v>130</v>
      </c>
    </row>
    <row r="29" spans="2:122" x14ac:dyDescent="0.3">
      <c r="B29" s="183" t="s">
        <v>439</v>
      </c>
      <c r="C29" s="387">
        <v>7.16</v>
      </c>
      <c r="D29" s="379">
        <v>0.108</v>
      </c>
      <c r="E29" s="168">
        <v>60</v>
      </c>
      <c r="F29" s="169">
        <v>1</v>
      </c>
      <c r="G29" s="386">
        <f>-PMT(D29/12,E29,C29)</f>
        <v>0.15496255034742779</v>
      </c>
    </row>
    <row r="31" spans="2:122" x14ac:dyDescent="0.3">
      <c r="B31" s="378" t="s">
        <v>427</v>
      </c>
      <c r="C31" s="377">
        <v>1</v>
      </c>
      <c r="D31" s="377">
        <v>2</v>
      </c>
      <c r="E31" s="377">
        <v>3</v>
      </c>
      <c r="F31" s="377">
        <v>4</v>
      </c>
      <c r="G31" s="377">
        <v>5</v>
      </c>
      <c r="H31" s="377">
        <v>6</v>
      </c>
      <c r="I31" s="377">
        <v>7</v>
      </c>
      <c r="J31" s="377">
        <v>8</v>
      </c>
      <c r="K31" s="377">
        <v>9</v>
      </c>
      <c r="L31" s="377">
        <v>10</v>
      </c>
      <c r="M31" s="377">
        <v>11</v>
      </c>
      <c r="N31" s="377">
        <v>12</v>
      </c>
      <c r="O31" s="377">
        <v>13</v>
      </c>
      <c r="P31" s="377">
        <v>14</v>
      </c>
      <c r="Q31" s="377">
        <v>15</v>
      </c>
      <c r="R31" s="377">
        <v>16</v>
      </c>
      <c r="S31" s="377">
        <v>17</v>
      </c>
      <c r="T31" s="377">
        <v>18</v>
      </c>
      <c r="U31" s="377">
        <v>19</v>
      </c>
      <c r="V31" s="377">
        <v>20</v>
      </c>
      <c r="W31" s="377">
        <v>21</v>
      </c>
      <c r="X31" s="377">
        <v>22</v>
      </c>
      <c r="Y31" s="377">
        <v>23</v>
      </c>
      <c r="Z31" s="377">
        <v>24</v>
      </c>
      <c r="AA31" s="377">
        <v>25</v>
      </c>
      <c r="AB31" s="377">
        <v>26</v>
      </c>
      <c r="AC31" s="377">
        <v>27</v>
      </c>
      <c r="AD31" s="377">
        <v>28</v>
      </c>
      <c r="AE31" s="377">
        <v>29</v>
      </c>
      <c r="AF31" s="377">
        <v>30</v>
      </c>
      <c r="AG31" s="377">
        <v>31</v>
      </c>
      <c r="AH31" s="377">
        <v>32</v>
      </c>
      <c r="AI31" s="377">
        <v>33</v>
      </c>
      <c r="AJ31" s="377">
        <v>34</v>
      </c>
      <c r="AK31" s="377">
        <v>35</v>
      </c>
      <c r="AL31" s="377">
        <v>36</v>
      </c>
      <c r="AM31" s="377">
        <v>37</v>
      </c>
      <c r="AN31" s="377">
        <v>38</v>
      </c>
      <c r="AO31" s="377">
        <v>39</v>
      </c>
      <c r="AP31" s="377">
        <v>40</v>
      </c>
      <c r="AQ31" s="377">
        <v>41</v>
      </c>
      <c r="AR31" s="377">
        <v>42</v>
      </c>
      <c r="AS31" s="377">
        <v>43</v>
      </c>
      <c r="AT31" s="377">
        <v>44</v>
      </c>
      <c r="AU31" s="377">
        <v>45</v>
      </c>
      <c r="AV31" s="377">
        <v>46</v>
      </c>
      <c r="AW31" s="377">
        <v>47</v>
      </c>
      <c r="AX31" s="377">
        <v>48</v>
      </c>
      <c r="AY31" s="377">
        <v>49</v>
      </c>
      <c r="AZ31" s="377">
        <v>50</v>
      </c>
      <c r="BA31" s="377">
        <v>51</v>
      </c>
      <c r="BB31" s="377">
        <v>52</v>
      </c>
      <c r="BC31" s="377">
        <v>53</v>
      </c>
      <c r="BD31" s="377">
        <v>54</v>
      </c>
      <c r="BE31" s="377">
        <v>55</v>
      </c>
      <c r="BF31" s="377">
        <v>56</v>
      </c>
      <c r="BG31" s="377">
        <v>57</v>
      </c>
      <c r="BH31" s="377">
        <v>58</v>
      </c>
      <c r="BI31" s="377">
        <v>59</v>
      </c>
      <c r="BJ31" s="377">
        <v>60</v>
      </c>
    </row>
    <row r="32" spans="2:122" x14ac:dyDescent="0.3">
      <c r="B32" s="380" t="s">
        <v>433</v>
      </c>
      <c r="C32" s="381">
        <f>IF(C31=F29,1,0)</f>
        <v>1</v>
      </c>
      <c r="D32" s="381">
        <f>IF(AND(C32=0,D31&lt;&gt;$F$29),0,C32+1)</f>
        <v>2</v>
      </c>
      <c r="E32" s="381">
        <f t="shared" ref="E32:BJ32" si="142">IF(AND(D32=0,E31&lt;&gt;$F$29),0,D32+1)</f>
        <v>3</v>
      </c>
      <c r="F32" s="381">
        <f t="shared" si="142"/>
        <v>4</v>
      </c>
      <c r="G32" s="381">
        <f t="shared" si="142"/>
        <v>5</v>
      </c>
      <c r="H32" s="381">
        <f t="shared" si="142"/>
        <v>6</v>
      </c>
      <c r="I32" s="381">
        <f t="shared" si="142"/>
        <v>7</v>
      </c>
      <c r="J32" s="381">
        <f t="shared" si="142"/>
        <v>8</v>
      </c>
      <c r="K32" s="381">
        <f t="shared" si="142"/>
        <v>9</v>
      </c>
      <c r="L32" s="381">
        <f t="shared" si="142"/>
        <v>10</v>
      </c>
      <c r="M32" s="381">
        <f t="shared" si="142"/>
        <v>11</v>
      </c>
      <c r="N32" s="381">
        <f t="shared" si="142"/>
        <v>12</v>
      </c>
      <c r="O32" s="381">
        <f t="shared" si="142"/>
        <v>13</v>
      </c>
      <c r="P32" s="381">
        <f t="shared" si="142"/>
        <v>14</v>
      </c>
      <c r="Q32" s="381">
        <f t="shared" si="142"/>
        <v>15</v>
      </c>
      <c r="R32" s="381">
        <f t="shared" si="142"/>
        <v>16</v>
      </c>
      <c r="S32" s="381">
        <f t="shared" si="142"/>
        <v>17</v>
      </c>
      <c r="T32" s="381">
        <f t="shared" si="142"/>
        <v>18</v>
      </c>
      <c r="U32" s="381">
        <f t="shared" si="142"/>
        <v>19</v>
      </c>
      <c r="V32" s="381">
        <f t="shared" si="142"/>
        <v>20</v>
      </c>
      <c r="W32" s="381">
        <f t="shared" si="142"/>
        <v>21</v>
      </c>
      <c r="X32" s="381">
        <f t="shared" si="142"/>
        <v>22</v>
      </c>
      <c r="Y32" s="381">
        <f t="shared" si="142"/>
        <v>23</v>
      </c>
      <c r="Z32" s="381">
        <f t="shared" si="142"/>
        <v>24</v>
      </c>
      <c r="AA32" s="381">
        <f t="shared" si="142"/>
        <v>25</v>
      </c>
      <c r="AB32" s="381">
        <f t="shared" si="142"/>
        <v>26</v>
      </c>
      <c r="AC32" s="381">
        <f t="shared" si="142"/>
        <v>27</v>
      </c>
      <c r="AD32" s="381">
        <f t="shared" si="142"/>
        <v>28</v>
      </c>
      <c r="AE32" s="381">
        <f t="shared" si="142"/>
        <v>29</v>
      </c>
      <c r="AF32" s="381">
        <f t="shared" si="142"/>
        <v>30</v>
      </c>
      <c r="AG32" s="381">
        <f t="shared" si="142"/>
        <v>31</v>
      </c>
      <c r="AH32" s="381">
        <f t="shared" si="142"/>
        <v>32</v>
      </c>
      <c r="AI32" s="381">
        <f t="shared" si="142"/>
        <v>33</v>
      </c>
      <c r="AJ32" s="381">
        <f t="shared" si="142"/>
        <v>34</v>
      </c>
      <c r="AK32" s="381">
        <f t="shared" si="142"/>
        <v>35</v>
      </c>
      <c r="AL32" s="381">
        <f t="shared" si="142"/>
        <v>36</v>
      </c>
      <c r="AM32" s="381">
        <f t="shared" si="142"/>
        <v>37</v>
      </c>
      <c r="AN32" s="381">
        <f t="shared" si="142"/>
        <v>38</v>
      </c>
      <c r="AO32" s="381">
        <f t="shared" si="142"/>
        <v>39</v>
      </c>
      <c r="AP32" s="381">
        <f t="shared" si="142"/>
        <v>40</v>
      </c>
      <c r="AQ32" s="381">
        <f t="shared" si="142"/>
        <v>41</v>
      </c>
      <c r="AR32" s="381">
        <f t="shared" si="142"/>
        <v>42</v>
      </c>
      <c r="AS32" s="381">
        <f t="shared" si="142"/>
        <v>43</v>
      </c>
      <c r="AT32" s="381">
        <f t="shared" si="142"/>
        <v>44</v>
      </c>
      <c r="AU32" s="381">
        <f t="shared" si="142"/>
        <v>45</v>
      </c>
      <c r="AV32" s="381">
        <f t="shared" si="142"/>
        <v>46</v>
      </c>
      <c r="AW32" s="381">
        <f t="shared" si="142"/>
        <v>47</v>
      </c>
      <c r="AX32" s="381">
        <f t="shared" si="142"/>
        <v>48</v>
      </c>
      <c r="AY32" s="381">
        <f t="shared" si="142"/>
        <v>49</v>
      </c>
      <c r="AZ32" s="381">
        <f t="shared" si="142"/>
        <v>50</v>
      </c>
      <c r="BA32" s="381">
        <f t="shared" si="142"/>
        <v>51</v>
      </c>
      <c r="BB32" s="381">
        <f t="shared" si="142"/>
        <v>52</v>
      </c>
      <c r="BC32" s="381">
        <f t="shared" si="142"/>
        <v>53</v>
      </c>
      <c r="BD32" s="381">
        <f t="shared" si="142"/>
        <v>54</v>
      </c>
      <c r="BE32" s="381">
        <f t="shared" si="142"/>
        <v>55</v>
      </c>
      <c r="BF32" s="381">
        <f t="shared" si="142"/>
        <v>56</v>
      </c>
      <c r="BG32" s="381">
        <f t="shared" si="142"/>
        <v>57</v>
      </c>
      <c r="BH32" s="381">
        <f t="shared" si="142"/>
        <v>58</v>
      </c>
      <c r="BI32" s="381">
        <f t="shared" si="142"/>
        <v>59</v>
      </c>
      <c r="BJ32" s="381">
        <f t="shared" si="142"/>
        <v>60</v>
      </c>
    </row>
    <row r="33" spans="2:122" x14ac:dyDescent="0.3">
      <c r="B33" s="382" t="s">
        <v>434</v>
      </c>
      <c r="C33" s="388">
        <f>-IFERROR(PPMT($D$29/12,C32,$E$29,$C$29),0)</f>
        <v>9.0522550347427788E-2</v>
      </c>
      <c r="D33" s="388">
        <f t="shared" ref="D33:BJ33" si="143">-IFERROR(PPMT($D$29/12,D32,$E$29,$C$29),0)</f>
        <v>9.1337253300554616E-2</v>
      </c>
      <c r="E33" s="388">
        <f t="shared" si="143"/>
        <v>9.215928858025961E-2</v>
      </c>
      <c r="F33" s="388">
        <f t="shared" si="143"/>
        <v>9.2988722177481942E-2</v>
      </c>
      <c r="G33" s="388">
        <f t="shared" si="143"/>
        <v>9.382562067707928E-2</v>
      </c>
      <c r="H33" s="388">
        <f t="shared" si="143"/>
        <v>9.4670051263173002E-2</v>
      </c>
      <c r="I33" s="388">
        <f t="shared" si="143"/>
        <v>9.552208172454156E-2</v>
      </c>
      <c r="J33" s="388">
        <f t="shared" si="143"/>
        <v>9.6381780460062419E-2</v>
      </c>
      <c r="K33" s="388">
        <f t="shared" si="143"/>
        <v>9.7249216484202997E-2</v>
      </c>
      <c r="L33" s="388">
        <f t="shared" si="143"/>
        <v>9.8124459432560818E-2</v>
      </c>
      <c r="M33" s="388">
        <f t="shared" si="143"/>
        <v>9.9007579567453874E-2</v>
      </c>
      <c r="N33" s="388">
        <f t="shared" si="143"/>
        <v>9.9898647783560945E-2</v>
      </c>
      <c r="O33" s="388">
        <f t="shared" si="143"/>
        <v>0.10079773561361299</v>
      </c>
      <c r="P33" s="388">
        <f t="shared" si="143"/>
        <v>0.10170491523413551</v>
      </c>
      <c r="Q33" s="388">
        <f t="shared" si="143"/>
        <v>0.10262025947124274</v>
      </c>
      <c r="R33" s="388">
        <f t="shared" si="143"/>
        <v>0.10354384180648392</v>
      </c>
      <c r="S33" s="388">
        <f t="shared" si="143"/>
        <v>0.10447573638274228</v>
      </c>
      <c r="T33" s="388">
        <f t="shared" si="143"/>
        <v>0.10541601801018695</v>
      </c>
      <c r="U33" s="388">
        <f t="shared" si="143"/>
        <v>0.10636476217227864</v>
      </c>
      <c r="V33" s="388">
        <f t="shared" si="143"/>
        <v>0.10732204503182916</v>
      </c>
      <c r="W33" s="388">
        <f t="shared" si="143"/>
        <v>0.10828794343711562</v>
      </c>
      <c r="X33" s="388">
        <f t="shared" si="143"/>
        <v>0.10926253492804966</v>
      </c>
      <c r="Y33" s="388">
        <f t="shared" si="143"/>
        <v>0.11024589774240209</v>
      </c>
      <c r="Z33" s="388">
        <f t="shared" si="143"/>
        <v>0.11123811082208371</v>
      </c>
      <c r="AA33" s="388">
        <f t="shared" si="143"/>
        <v>0.11223925381948248</v>
      </c>
      <c r="AB33" s="388">
        <f t="shared" si="143"/>
        <v>0.11324940710385779</v>
      </c>
      <c r="AC33" s="388">
        <f t="shared" si="143"/>
        <v>0.11426865176779254</v>
      </c>
      <c r="AD33" s="388">
        <f t="shared" si="143"/>
        <v>0.11529706963370268</v>
      </c>
      <c r="AE33" s="388">
        <f t="shared" si="143"/>
        <v>0.11633474326040599</v>
      </c>
      <c r="AF33" s="388">
        <f t="shared" si="143"/>
        <v>0.11738175594974966</v>
      </c>
      <c r="AG33" s="388">
        <f t="shared" si="143"/>
        <v>0.11843819175329738</v>
      </c>
      <c r="AH33" s="388">
        <f t="shared" si="143"/>
        <v>0.11950413547907707</v>
      </c>
      <c r="AI33" s="388">
        <f t="shared" si="143"/>
        <v>0.12057967269838875</v>
      </c>
      <c r="AJ33" s="388">
        <f t="shared" si="143"/>
        <v>0.12166488975267425</v>
      </c>
      <c r="AK33" s="388">
        <f t="shared" si="143"/>
        <v>0.12275987376044833</v>
      </c>
      <c r="AL33" s="388">
        <f t="shared" si="143"/>
        <v>0.12386471262429236</v>
      </c>
      <c r="AM33" s="388">
        <f t="shared" si="143"/>
        <v>0.124979495037911</v>
      </c>
      <c r="AN33" s="388">
        <f t="shared" si="143"/>
        <v>0.12610431049325219</v>
      </c>
      <c r="AO33" s="388">
        <f t="shared" si="143"/>
        <v>0.12723924928769148</v>
      </c>
      <c r="AP33" s="388">
        <f t="shared" si="143"/>
        <v>0.12838440253128067</v>
      </c>
      <c r="AQ33" s="388">
        <f t="shared" si="143"/>
        <v>0.12953986215406221</v>
      </c>
      <c r="AR33" s="388">
        <f t="shared" si="143"/>
        <v>0.13070572091344879</v>
      </c>
      <c r="AS33" s="388">
        <f t="shared" si="143"/>
        <v>0.1318820724016698</v>
      </c>
      <c r="AT33" s="388">
        <f t="shared" si="143"/>
        <v>0.13306901105328484</v>
      </c>
      <c r="AU33" s="388">
        <f t="shared" si="143"/>
        <v>0.13426663215276441</v>
      </c>
      <c r="AV33" s="388">
        <f t="shared" si="143"/>
        <v>0.13547503184213927</v>
      </c>
      <c r="AW33" s="388">
        <f t="shared" si="143"/>
        <v>0.13669430712871852</v>
      </c>
      <c r="AX33" s="388">
        <f t="shared" si="143"/>
        <v>0.137924555892877</v>
      </c>
      <c r="AY33" s="388">
        <f t="shared" si="143"/>
        <v>0.13916587689591289</v>
      </c>
      <c r="AZ33" s="388">
        <f t="shared" si="143"/>
        <v>0.14041836978797612</v>
      </c>
      <c r="BA33" s="388">
        <f t="shared" si="143"/>
        <v>0.14168213511606789</v>
      </c>
      <c r="BB33" s="388">
        <f t="shared" si="143"/>
        <v>0.1429572743321125</v>
      </c>
      <c r="BC33" s="388">
        <f t="shared" si="143"/>
        <v>0.1442438898011015</v>
      </c>
      <c r="BD33" s="388">
        <f t="shared" si="143"/>
        <v>0.14554208480931144</v>
      </c>
      <c r="BE33" s="388">
        <f t="shared" si="143"/>
        <v>0.14685196357259522</v>
      </c>
      <c r="BF33" s="388">
        <f t="shared" si="143"/>
        <v>0.14817363124474861</v>
      </c>
      <c r="BG33" s="388">
        <f t="shared" si="143"/>
        <v>0.14950719392595133</v>
      </c>
      <c r="BH33" s="388">
        <f t="shared" si="143"/>
        <v>0.15085275867128489</v>
      </c>
      <c r="BI33" s="388">
        <f t="shared" si="143"/>
        <v>0.15221043349932648</v>
      </c>
      <c r="BJ33" s="388">
        <f t="shared" si="143"/>
        <v>0.15358032740082039</v>
      </c>
    </row>
    <row r="34" spans="2:122" x14ac:dyDescent="0.3">
      <c r="B34" s="382" t="s">
        <v>435</v>
      </c>
      <c r="C34" s="388">
        <f>-IFERROR(IPMT($D$29/12,C32,$E$29,$C$29),0)</f>
        <v>6.4439999999999997E-2</v>
      </c>
      <c r="D34" s="388">
        <f t="shared" ref="D34:BJ34" si="144">-IFERROR(IPMT($D$29/12,D32,$E$29,$C$29),0)</f>
        <v>6.3625297046873155E-2</v>
      </c>
      <c r="E34" s="388">
        <f t="shared" si="144"/>
        <v>6.2803261767168161E-2</v>
      </c>
      <c r="F34" s="388">
        <f t="shared" si="144"/>
        <v>6.1973828169945837E-2</v>
      </c>
      <c r="G34" s="388">
        <f t="shared" si="144"/>
        <v>6.1136929670348485E-2</v>
      </c>
      <c r="H34" s="388">
        <f t="shared" si="144"/>
        <v>6.0292499084254769E-2</v>
      </c>
      <c r="I34" s="388">
        <f t="shared" si="144"/>
        <v>5.9440468622886225E-2</v>
      </c>
      <c r="J34" s="388">
        <f t="shared" si="144"/>
        <v>5.8580769887365339E-2</v>
      </c>
      <c r="K34" s="388">
        <f t="shared" si="144"/>
        <v>5.7713333863224782E-2</v>
      </c>
      <c r="L34" s="388">
        <f t="shared" si="144"/>
        <v>5.6838090914866961E-2</v>
      </c>
      <c r="M34" s="388">
        <f t="shared" si="144"/>
        <v>5.5954970779973905E-2</v>
      </c>
      <c r="N34" s="388">
        <f t="shared" si="144"/>
        <v>5.5063902563866819E-2</v>
      </c>
      <c r="O34" s="388">
        <f t="shared" si="144"/>
        <v>5.4164814733814771E-2</v>
      </c>
      <c r="P34" s="388">
        <f t="shared" si="144"/>
        <v>5.3257635113292255E-2</v>
      </c>
      <c r="Q34" s="388">
        <f t="shared" si="144"/>
        <v>5.2342290876185041E-2</v>
      </c>
      <c r="R34" s="388">
        <f t="shared" si="144"/>
        <v>5.1418708540943846E-2</v>
      </c>
      <c r="S34" s="388">
        <f t="shared" si="144"/>
        <v>5.048681396468549E-2</v>
      </c>
      <c r="T34" s="388">
        <f t="shared" si="144"/>
        <v>4.9546532337240816E-2</v>
      </c>
      <c r="U34" s="388">
        <f t="shared" si="144"/>
        <v>4.8597788175149134E-2</v>
      </c>
      <c r="V34" s="388">
        <f t="shared" si="144"/>
        <v>4.7640505315598637E-2</v>
      </c>
      <c r="W34" s="388">
        <f t="shared" si="144"/>
        <v>4.6674606910312159E-2</v>
      </c>
      <c r="X34" s="388">
        <f t="shared" si="144"/>
        <v>4.5700015419378126E-2</v>
      </c>
      <c r="Y34" s="388">
        <f t="shared" si="144"/>
        <v>4.4716652605025671E-2</v>
      </c>
      <c r="Z34" s="388">
        <f t="shared" si="144"/>
        <v>4.3724439525344057E-2</v>
      </c>
      <c r="AA34" s="388">
        <f t="shared" si="144"/>
        <v>4.2723296527945306E-2</v>
      </c>
      <c r="AB34" s="388">
        <f t="shared" si="144"/>
        <v>4.1713143243569964E-2</v>
      </c>
      <c r="AC34" s="388">
        <f t="shared" si="144"/>
        <v>4.0693898579635242E-2</v>
      </c>
      <c r="AD34" s="388">
        <f t="shared" si="144"/>
        <v>3.9665480713725117E-2</v>
      </c>
      <c r="AE34" s="388">
        <f t="shared" si="144"/>
        <v>3.8627807087021786E-2</v>
      </c>
      <c r="AF34" s="388">
        <f t="shared" si="144"/>
        <v>3.7580794397678134E-2</v>
      </c>
      <c r="AG34" s="388">
        <f t="shared" si="144"/>
        <v>3.6524358594130384E-2</v>
      </c>
      <c r="AH34" s="388">
        <f t="shared" si="144"/>
        <v>3.5458414868350711E-2</v>
      </c>
      <c r="AI34" s="388">
        <f t="shared" si="144"/>
        <v>3.4382877649039016E-2</v>
      </c>
      <c r="AJ34" s="388">
        <f t="shared" si="144"/>
        <v>3.3297660594753517E-2</v>
      </c>
      <c r="AK34" s="388">
        <f t="shared" si="144"/>
        <v>3.2202676586979451E-2</v>
      </c>
      <c r="AL34" s="388">
        <f t="shared" si="144"/>
        <v>3.1097837723135412E-2</v>
      </c>
      <c r="AM34" s="388">
        <f t="shared" si="144"/>
        <v>2.9983055309516785E-2</v>
      </c>
      <c r="AN34" s="388">
        <f t="shared" si="144"/>
        <v>2.8858239854175585E-2</v>
      </c>
      <c r="AO34" s="388">
        <f t="shared" si="144"/>
        <v>2.7723301059736312E-2</v>
      </c>
      <c r="AP34" s="388">
        <f t="shared" si="144"/>
        <v>2.6578147816147091E-2</v>
      </c>
      <c r="AQ34" s="388">
        <f t="shared" si="144"/>
        <v>2.5422688193365562E-2</v>
      </c>
      <c r="AR34" s="388">
        <f t="shared" si="144"/>
        <v>2.4256829433979006E-2</v>
      </c>
      <c r="AS34" s="388">
        <f t="shared" si="144"/>
        <v>2.3080477945757967E-2</v>
      </c>
      <c r="AT34" s="388">
        <f t="shared" si="144"/>
        <v>2.1893539294142936E-2</v>
      </c>
      <c r="AU34" s="388">
        <f t="shared" si="144"/>
        <v>2.0695918194663373E-2</v>
      </c>
      <c r="AV34" s="388">
        <f t="shared" si="144"/>
        <v>1.9487518505288497E-2</v>
      </c>
      <c r="AW34" s="388">
        <f t="shared" si="144"/>
        <v>1.8268243218709245E-2</v>
      </c>
      <c r="AX34" s="388">
        <f t="shared" si="144"/>
        <v>1.7037994454550773E-2</v>
      </c>
      <c r="AY34" s="388">
        <f t="shared" si="144"/>
        <v>1.5796673451514885E-2</v>
      </c>
      <c r="AZ34" s="388">
        <f t="shared" si="144"/>
        <v>1.4544180559451668E-2</v>
      </c>
      <c r="BA34" s="388">
        <f t="shared" si="144"/>
        <v>1.3280415231359883E-2</v>
      </c>
      <c r="BB34" s="388">
        <f t="shared" si="144"/>
        <v>1.2005276015315269E-2</v>
      </c>
      <c r="BC34" s="388">
        <f t="shared" si="144"/>
        <v>1.0718660546326258E-2</v>
      </c>
      <c r="BD34" s="388">
        <f t="shared" si="144"/>
        <v>9.420465538116346E-3</v>
      </c>
      <c r="BE34" s="388">
        <f t="shared" si="144"/>
        <v>8.1105867748325414E-3</v>
      </c>
      <c r="BF34" s="388">
        <f t="shared" si="144"/>
        <v>6.7889191026791864E-3</v>
      </c>
      <c r="BG34" s="388">
        <f t="shared" si="144"/>
        <v>5.4553564214764472E-3</v>
      </c>
      <c r="BH34" s="388">
        <f t="shared" si="144"/>
        <v>4.1097916761428854E-3</v>
      </c>
      <c r="BI34" s="388">
        <f t="shared" si="144"/>
        <v>2.7521168481013216E-3</v>
      </c>
      <c r="BJ34" s="388">
        <f t="shared" si="144"/>
        <v>1.3822229466073834E-3</v>
      </c>
    </row>
    <row r="35" spans="2:122" x14ac:dyDescent="0.3">
      <c r="B35" s="382" t="s">
        <v>436</v>
      </c>
      <c r="C35" s="389">
        <f t="shared" ref="C35:BJ35" si="145">C33+C34</f>
        <v>0.15496255034742779</v>
      </c>
      <c r="D35" s="389">
        <f t="shared" si="145"/>
        <v>0.15496255034742779</v>
      </c>
      <c r="E35" s="389">
        <f t="shared" si="145"/>
        <v>0.15496255034742779</v>
      </c>
      <c r="F35" s="389">
        <f t="shared" si="145"/>
        <v>0.15496255034742779</v>
      </c>
      <c r="G35" s="389">
        <f t="shared" si="145"/>
        <v>0.15496255034742776</v>
      </c>
      <c r="H35" s="389">
        <f t="shared" si="145"/>
        <v>0.15496255034742779</v>
      </c>
      <c r="I35" s="389">
        <f t="shared" si="145"/>
        <v>0.15496255034742779</v>
      </c>
      <c r="J35" s="389">
        <f t="shared" si="145"/>
        <v>0.15496255034742776</v>
      </c>
      <c r="K35" s="389">
        <f t="shared" si="145"/>
        <v>0.15496255034742779</v>
      </c>
      <c r="L35" s="389">
        <f t="shared" si="145"/>
        <v>0.15496255034742779</v>
      </c>
      <c r="M35" s="389">
        <f t="shared" si="145"/>
        <v>0.15496255034742779</v>
      </c>
      <c r="N35" s="389">
        <f t="shared" si="145"/>
        <v>0.15496255034742776</v>
      </c>
      <c r="O35" s="389">
        <f t="shared" si="145"/>
        <v>0.15496255034742776</v>
      </c>
      <c r="P35" s="389">
        <f t="shared" si="145"/>
        <v>0.15496255034742776</v>
      </c>
      <c r="Q35" s="389">
        <f t="shared" si="145"/>
        <v>0.15496255034742779</v>
      </c>
      <c r="R35" s="389">
        <f t="shared" si="145"/>
        <v>0.15496255034742776</v>
      </c>
      <c r="S35" s="389">
        <f t="shared" si="145"/>
        <v>0.15496255034742779</v>
      </c>
      <c r="T35" s="389">
        <f t="shared" si="145"/>
        <v>0.15496255034742776</v>
      </c>
      <c r="U35" s="389">
        <f t="shared" si="145"/>
        <v>0.15496255034742779</v>
      </c>
      <c r="V35" s="389">
        <f t="shared" si="145"/>
        <v>0.15496255034742779</v>
      </c>
      <c r="W35" s="389">
        <f t="shared" si="145"/>
        <v>0.15496255034742779</v>
      </c>
      <c r="X35" s="389">
        <f t="shared" si="145"/>
        <v>0.15496255034742779</v>
      </c>
      <c r="Y35" s="389">
        <f t="shared" si="145"/>
        <v>0.15496255034742776</v>
      </c>
      <c r="Z35" s="389">
        <f t="shared" si="145"/>
        <v>0.15496255034742776</v>
      </c>
      <c r="AA35" s="389">
        <f t="shared" si="145"/>
        <v>0.15496255034742779</v>
      </c>
      <c r="AB35" s="389">
        <f t="shared" si="145"/>
        <v>0.15496255034742776</v>
      </c>
      <c r="AC35" s="389">
        <f t="shared" si="145"/>
        <v>0.15496255034742779</v>
      </c>
      <c r="AD35" s="389">
        <f t="shared" si="145"/>
        <v>0.15496255034742779</v>
      </c>
      <c r="AE35" s="389">
        <f t="shared" si="145"/>
        <v>0.15496255034742779</v>
      </c>
      <c r="AF35" s="389">
        <f t="shared" si="145"/>
        <v>0.15496255034742779</v>
      </c>
      <c r="AG35" s="389">
        <f t="shared" si="145"/>
        <v>0.15496255034742776</v>
      </c>
      <c r="AH35" s="389">
        <f t="shared" si="145"/>
        <v>0.15496255034742779</v>
      </c>
      <c r="AI35" s="389">
        <f t="shared" si="145"/>
        <v>0.15496255034742776</v>
      </c>
      <c r="AJ35" s="389">
        <f t="shared" si="145"/>
        <v>0.15496255034742779</v>
      </c>
      <c r="AK35" s="389">
        <f t="shared" si="145"/>
        <v>0.15496255034742779</v>
      </c>
      <c r="AL35" s="389">
        <f t="shared" si="145"/>
        <v>0.15496255034742776</v>
      </c>
      <c r="AM35" s="389">
        <f t="shared" si="145"/>
        <v>0.15496255034742779</v>
      </c>
      <c r="AN35" s="389">
        <f t="shared" si="145"/>
        <v>0.15496255034742779</v>
      </c>
      <c r="AO35" s="389">
        <f t="shared" si="145"/>
        <v>0.15496255034742779</v>
      </c>
      <c r="AP35" s="389">
        <f t="shared" si="145"/>
        <v>0.15496255034742776</v>
      </c>
      <c r="AQ35" s="389">
        <f t="shared" si="145"/>
        <v>0.15496255034742779</v>
      </c>
      <c r="AR35" s="389">
        <f t="shared" si="145"/>
        <v>0.15496255034742779</v>
      </c>
      <c r="AS35" s="389">
        <f t="shared" si="145"/>
        <v>0.15496255034742776</v>
      </c>
      <c r="AT35" s="389">
        <f t="shared" si="145"/>
        <v>0.15496255034742779</v>
      </c>
      <c r="AU35" s="389">
        <f t="shared" si="145"/>
        <v>0.15496255034742779</v>
      </c>
      <c r="AV35" s="389">
        <f t="shared" si="145"/>
        <v>0.15496255034742776</v>
      </c>
      <c r="AW35" s="389">
        <f t="shared" si="145"/>
        <v>0.15496255034742776</v>
      </c>
      <c r="AX35" s="389">
        <f t="shared" si="145"/>
        <v>0.15496255034742779</v>
      </c>
      <c r="AY35" s="389">
        <f t="shared" si="145"/>
        <v>0.15496255034742779</v>
      </c>
      <c r="AZ35" s="389">
        <f t="shared" si="145"/>
        <v>0.15496255034742779</v>
      </c>
      <c r="BA35" s="389">
        <f t="shared" si="145"/>
        <v>0.15496255034742779</v>
      </c>
      <c r="BB35" s="389">
        <f t="shared" si="145"/>
        <v>0.15496255034742776</v>
      </c>
      <c r="BC35" s="389">
        <f t="shared" si="145"/>
        <v>0.15496255034742776</v>
      </c>
      <c r="BD35" s="389">
        <f t="shared" si="145"/>
        <v>0.15496255034742779</v>
      </c>
      <c r="BE35" s="389">
        <f t="shared" si="145"/>
        <v>0.15496255034742776</v>
      </c>
      <c r="BF35" s="389">
        <f t="shared" si="145"/>
        <v>0.15496255034742779</v>
      </c>
      <c r="BG35" s="389">
        <f t="shared" si="145"/>
        <v>0.15496255034742779</v>
      </c>
      <c r="BH35" s="389">
        <f t="shared" si="145"/>
        <v>0.15496255034742779</v>
      </c>
      <c r="BI35" s="389">
        <f t="shared" si="145"/>
        <v>0.15496255034742779</v>
      </c>
      <c r="BJ35" s="389">
        <f t="shared" si="145"/>
        <v>0.15496255034742779</v>
      </c>
    </row>
    <row r="36" spans="2:122" x14ac:dyDescent="0.3">
      <c r="B36" s="382" t="s">
        <v>187</v>
      </c>
      <c r="C36" s="388">
        <f>IF(C31=F29,C29-C33,0)</f>
        <v>7.0694774496525721</v>
      </c>
      <c r="D36" s="388">
        <f>IF(D31=$F$29,$C$29-D33,C36-D33)</f>
        <v>6.9781401963520171</v>
      </c>
      <c r="E36" s="388">
        <f t="shared" ref="E36:BJ36" si="146">IF(E31=$F$29,$C$29-E33,D36-E33)</f>
        <v>6.8859809077717573</v>
      </c>
      <c r="F36" s="388">
        <f t="shared" si="146"/>
        <v>6.792992185594275</v>
      </c>
      <c r="G36" s="388">
        <f t="shared" si="146"/>
        <v>6.6991665649171956</v>
      </c>
      <c r="H36" s="388">
        <f t="shared" si="146"/>
        <v>6.6044965136540226</v>
      </c>
      <c r="I36" s="388">
        <f t="shared" si="146"/>
        <v>6.5089744319294809</v>
      </c>
      <c r="J36" s="388">
        <f t="shared" si="146"/>
        <v>6.412592651469418</v>
      </c>
      <c r="K36" s="388">
        <f t="shared" si="146"/>
        <v>6.3153434349852153</v>
      </c>
      <c r="L36" s="388">
        <f t="shared" si="146"/>
        <v>6.2172189755526546</v>
      </c>
      <c r="M36" s="388">
        <f t="shared" si="146"/>
        <v>6.1182113959852007</v>
      </c>
      <c r="N36" s="388">
        <f t="shared" si="146"/>
        <v>6.0183127482016401</v>
      </c>
      <c r="O36" s="388">
        <f t="shared" si="146"/>
        <v>5.9175150125880274</v>
      </c>
      <c r="P36" s="388">
        <f t="shared" si="146"/>
        <v>5.815810097353892</v>
      </c>
      <c r="Q36" s="388">
        <f t="shared" si="146"/>
        <v>5.7131898378826493</v>
      </c>
      <c r="R36" s="388">
        <f t="shared" si="146"/>
        <v>5.6096459960761651</v>
      </c>
      <c r="S36" s="388">
        <f t="shared" si="146"/>
        <v>5.5051702596934229</v>
      </c>
      <c r="T36" s="388">
        <f t="shared" si="146"/>
        <v>5.3997542416832358</v>
      </c>
      <c r="U36" s="388">
        <f t="shared" si="146"/>
        <v>5.2933894795109575</v>
      </c>
      <c r="V36" s="388">
        <f t="shared" si="146"/>
        <v>5.1860674344791287</v>
      </c>
      <c r="W36" s="388">
        <f t="shared" si="146"/>
        <v>5.0777794910420129</v>
      </c>
      <c r="X36" s="388">
        <f t="shared" si="146"/>
        <v>4.9685169561139633</v>
      </c>
      <c r="Y36" s="388">
        <f t="shared" si="146"/>
        <v>4.8582710583715611</v>
      </c>
      <c r="Z36" s="388">
        <f t="shared" si="146"/>
        <v>4.747032947549477</v>
      </c>
      <c r="AA36" s="388">
        <f t="shared" si="146"/>
        <v>4.6347936937299945</v>
      </c>
      <c r="AB36" s="388">
        <f t="shared" si="146"/>
        <v>4.5215442866261366</v>
      </c>
      <c r="AC36" s="388">
        <f t="shared" si="146"/>
        <v>4.4072756348583439</v>
      </c>
      <c r="AD36" s="388">
        <f t="shared" si="146"/>
        <v>4.2919785652246416</v>
      </c>
      <c r="AE36" s="388">
        <f t="shared" si="146"/>
        <v>4.1756438219642353</v>
      </c>
      <c r="AF36" s="388">
        <f t="shared" si="146"/>
        <v>4.0582620660144855</v>
      </c>
      <c r="AG36" s="388">
        <f t="shared" si="146"/>
        <v>3.939823874261188</v>
      </c>
      <c r="AH36" s="388">
        <f t="shared" si="146"/>
        <v>3.8203197387821111</v>
      </c>
      <c r="AI36" s="388">
        <f t="shared" si="146"/>
        <v>3.6997400660837223</v>
      </c>
      <c r="AJ36" s="388">
        <f t="shared" si="146"/>
        <v>3.5780751763310481</v>
      </c>
      <c r="AK36" s="388">
        <f t="shared" si="146"/>
        <v>3.4553153025705998</v>
      </c>
      <c r="AL36" s="388">
        <f t="shared" si="146"/>
        <v>3.3314505899463076</v>
      </c>
      <c r="AM36" s="388">
        <f t="shared" si="146"/>
        <v>3.2064710949083968</v>
      </c>
      <c r="AN36" s="388">
        <f t="shared" si="146"/>
        <v>3.0803667844151446</v>
      </c>
      <c r="AO36" s="388">
        <f t="shared" si="146"/>
        <v>2.9531275351274529</v>
      </c>
      <c r="AP36" s="388">
        <f t="shared" si="146"/>
        <v>2.824743132596172</v>
      </c>
      <c r="AQ36" s="388">
        <f t="shared" si="146"/>
        <v>2.6952032704421098</v>
      </c>
      <c r="AR36" s="388">
        <f t="shared" si="146"/>
        <v>2.564497549528661</v>
      </c>
      <c r="AS36" s="388">
        <f t="shared" si="146"/>
        <v>2.4326154771269914</v>
      </c>
      <c r="AT36" s="388">
        <f t="shared" si="146"/>
        <v>2.2995464660737066</v>
      </c>
      <c r="AU36" s="388">
        <f t="shared" si="146"/>
        <v>2.165279833920942</v>
      </c>
      <c r="AV36" s="388">
        <f t="shared" si="146"/>
        <v>2.0298048020788029</v>
      </c>
      <c r="AW36" s="388">
        <f t="shared" si="146"/>
        <v>1.8931104949500843</v>
      </c>
      <c r="AX36" s="388">
        <f t="shared" si="146"/>
        <v>1.7551859390572073</v>
      </c>
      <c r="AY36" s="388">
        <f t="shared" si="146"/>
        <v>1.6160200621612943</v>
      </c>
      <c r="AZ36" s="388">
        <f t="shared" si="146"/>
        <v>1.4756016923733182</v>
      </c>
      <c r="BA36" s="388">
        <f t="shared" si="146"/>
        <v>1.3339195572572502</v>
      </c>
      <c r="BB36" s="388">
        <f t="shared" si="146"/>
        <v>1.1909622829251376</v>
      </c>
      <c r="BC36" s="388">
        <f t="shared" si="146"/>
        <v>1.046718393124036</v>
      </c>
      <c r="BD36" s="388">
        <f t="shared" si="146"/>
        <v>0.90117630831472462</v>
      </c>
      <c r="BE36" s="388">
        <f t="shared" si="146"/>
        <v>0.75432434474212939</v>
      </c>
      <c r="BF36" s="388">
        <f t="shared" si="146"/>
        <v>0.60615071349738081</v>
      </c>
      <c r="BG36" s="388">
        <f t="shared" si="146"/>
        <v>0.45664351957142946</v>
      </c>
      <c r="BH36" s="388">
        <f t="shared" si="146"/>
        <v>0.30579076090014456</v>
      </c>
      <c r="BI36" s="388">
        <f t="shared" si="146"/>
        <v>0.15358032740081809</v>
      </c>
      <c r="BJ36" s="388">
        <f t="shared" si="146"/>
        <v>-2.3037127760971998E-15</v>
      </c>
    </row>
    <row r="37" spans="2:122" x14ac:dyDescent="0.3">
      <c r="B37" s="382" t="s">
        <v>437</v>
      </c>
      <c r="C37" s="388">
        <f>IF(C36=0,0,SUM(D33:O33))</f>
        <v>1.151962437064544</v>
      </c>
      <c r="D37" s="388">
        <f t="shared" ref="D37" si="147">IF(D36=0,0,SUM(E33:P33))</f>
        <v>1.1623300989981251</v>
      </c>
      <c r="E37" s="388">
        <f>IF(E36=0,0,SUM(F33:Q33))</f>
        <v>1.1727910698891082</v>
      </c>
      <c r="F37" s="388">
        <f t="shared" ref="F37:M37" si="148">IF(F36=0,0,SUM(G33:R33))</f>
        <v>1.1833461895181101</v>
      </c>
      <c r="G37" s="388">
        <f t="shared" si="148"/>
        <v>1.1939963052237732</v>
      </c>
      <c r="H37" s="388">
        <f t="shared" si="148"/>
        <v>1.204742271970787</v>
      </c>
      <c r="I37" s="388">
        <f t="shared" si="148"/>
        <v>1.2155849524185238</v>
      </c>
      <c r="J37" s="388">
        <f t="shared" si="148"/>
        <v>1.2265252169902909</v>
      </c>
      <c r="K37" s="388">
        <f t="shared" si="148"/>
        <v>1.2375639439432033</v>
      </c>
      <c r="L37" s="388">
        <f t="shared" si="148"/>
        <v>1.2487020194386922</v>
      </c>
      <c r="M37" s="388">
        <f t="shared" si="148"/>
        <v>1.2599403376136407</v>
      </c>
      <c r="N37" s="388">
        <f>IF(N36=0,0,SUM(O33:Z33))</f>
        <v>1.2712798006521633</v>
      </c>
      <c r="O37" s="388">
        <f t="shared" ref="O37" si="149">IF(O36=0,0,SUM(P33:AA33))</f>
        <v>1.2827213188580326</v>
      </c>
      <c r="P37" s="388">
        <f>IF(P36=0,0,SUM(Q33:AB33))</f>
        <v>1.2942658107277552</v>
      </c>
      <c r="Q37" s="388">
        <f t="shared" ref="Q37:AD37" si="150">IF(Q36=0,0,SUM(R33:AC33))</f>
        <v>1.3059142030243047</v>
      </c>
      <c r="R37" s="388">
        <f t="shared" si="150"/>
        <v>1.3176674308515235</v>
      </c>
      <c r="S37" s="388">
        <f t="shared" si="150"/>
        <v>1.3295264377291873</v>
      </c>
      <c r="T37" s="388">
        <f t="shared" si="150"/>
        <v>1.3414921756687499</v>
      </c>
      <c r="U37" s="388">
        <f t="shared" si="150"/>
        <v>1.3535656052497689</v>
      </c>
      <c r="V37" s="388">
        <f t="shared" si="150"/>
        <v>1.3657476956970167</v>
      </c>
      <c r="W37" s="388">
        <f t="shared" si="150"/>
        <v>1.3780394249582897</v>
      </c>
      <c r="X37" s="388">
        <f t="shared" si="150"/>
        <v>1.3904417797829143</v>
      </c>
      <c r="Y37" s="388">
        <f t="shared" si="150"/>
        <v>1.4029557558009604</v>
      </c>
      <c r="Z37" s="388">
        <f t="shared" si="150"/>
        <v>1.4155823576031692</v>
      </c>
      <c r="AA37" s="388">
        <f t="shared" si="150"/>
        <v>1.428322598821598</v>
      </c>
      <c r="AB37" s="388">
        <f t="shared" si="150"/>
        <v>1.4411775022109923</v>
      </c>
      <c r="AC37" s="388">
        <f t="shared" si="150"/>
        <v>1.4541480997308913</v>
      </c>
      <c r="AD37" s="388">
        <f t="shared" si="150"/>
        <v>1.4672354326284689</v>
      </c>
      <c r="AE37" s="388">
        <f>IF(AE36=0,0,SUM(AF33:AQ33))</f>
        <v>1.4804405515221253</v>
      </c>
      <c r="AF37" s="388">
        <f t="shared" ref="AF37:AL37" si="151">IF(AF36=0,0,SUM(AG33:AR33))</f>
        <v>1.4937645164858244</v>
      </c>
      <c r="AG37" s="388">
        <f t="shared" si="151"/>
        <v>1.507208397134197</v>
      </c>
      <c r="AH37" s="388">
        <f t="shared" si="151"/>
        <v>1.5207732727084047</v>
      </c>
      <c r="AI37" s="388">
        <f t="shared" si="151"/>
        <v>1.5344602321627803</v>
      </c>
      <c r="AJ37" s="388">
        <f t="shared" si="151"/>
        <v>1.5482703742522452</v>
      </c>
      <c r="AK37" s="388">
        <f t="shared" si="151"/>
        <v>1.5622048076205155</v>
      </c>
      <c r="AL37" s="388">
        <f t="shared" si="151"/>
        <v>1.5762646508891003</v>
      </c>
      <c r="AM37" s="388">
        <f>IF(AM36=0,0,SUM(AN33:AY33))</f>
        <v>1.5904510327471024</v>
      </c>
      <c r="AN37" s="388">
        <f t="shared" ref="AN37:AX37" si="152">IF(AN36=0,0,SUM(AO33:AZ33))</f>
        <v>1.6047650920418264</v>
      </c>
      <c r="AO37" s="388">
        <f t="shared" si="152"/>
        <v>1.6192079778702027</v>
      </c>
      <c r="AP37" s="388">
        <f t="shared" si="152"/>
        <v>1.6337808496710347</v>
      </c>
      <c r="AQ37" s="388">
        <f t="shared" si="152"/>
        <v>1.6484848773180738</v>
      </c>
      <c r="AR37" s="388">
        <f t="shared" si="152"/>
        <v>1.6633212412139364</v>
      </c>
      <c r="AS37" s="388">
        <f t="shared" si="152"/>
        <v>1.6782911323848619</v>
      </c>
      <c r="AT37" s="388">
        <f t="shared" si="152"/>
        <v>1.6933957525763252</v>
      </c>
      <c r="AU37" s="388">
        <f t="shared" si="152"/>
        <v>1.7086363143495125</v>
      </c>
      <c r="AV37" s="388">
        <f t="shared" si="152"/>
        <v>1.7240140411786578</v>
      </c>
      <c r="AW37" s="388">
        <f t="shared" si="152"/>
        <v>1.7395301675492658</v>
      </c>
      <c r="AX37" s="388">
        <f t="shared" si="152"/>
        <v>1.7551859390572093</v>
      </c>
      <c r="AY37" s="388">
        <f>IF(AY36=0,0,SUM(AZ33:BK33))</f>
        <v>1.6160200621612963</v>
      </c>
      <c r="AZ37" s="388">
        <f t="shared" ref="AZ37:BI37" si="153">IF(AZ36=0,0,SUM(BA33:BL33))</f>
        <v>1.4756016923733202</v>
      </c>
      <c r="BA37" s="388">
        <f t="shared" si="153"/>
        <v>1.3339195572572522</v>
      </c>
      <c r="BB37" s="388">
        <f t="shared" si="153"/>
        <v>1.1909622829251401</v>
      </c>
      <c r="BC37" s="388">
        <f t="shared" si="153"/>
        <v>1.0467183931240385</v>
      </c>
      <c r="BD37" s="388">
        <f t="shared" si="153"/>
        <v>0.90117630831472695</v>
      </c>
      <c r="BE37" s="388">
        <f t="shared" si="153"/>
        <v>0.75432434474213172</v>
      </c>
      <c r="BF37" s="388">
        <f t="shared" si="153"/>
        <v>0.60615071349738314</v>
      </c>
      <c r="BG37" s="388">
        <f t="shared" si="153"/>
        <v>0.45664351957143179</v>
      </c>
      <c r="BH37" s="388">
        <f t="shared" si="153"/>
        <v>0.3057907609001469</v>
      </c>
      <c r="BI37" s="388">
        <f t="shared" si="153"/>
        <v>0.15358032740082039</v>
      </c>
      <c r="BJ37" s="388">
        <f>IF(BJ36=0,0,SUM(BK33:BV33))</f>
        <v>0</v>
      </c>
    </row>
    <row r="38" spans="2:122" x14ac:dyDescent="0.3">
      <c r="B38" s="382" t="s">
        <v>438</v>
      </c>
      <c r="C38" s="388">
        <f>IF(C36-C37&lt;0,0,C36-C37)</f>
        <v>5.9175150125880283</v>
      </c>
      <c r="D38" s="388">
        <f t="shared" ref="D38:BJ38" si="154">IF(D36-D37&lt;0,0,D36-D37)</f>
        <v>5.815810097353892</v>
      </c>
      <c r="E38" s="388">
        <f t="shared" si="154"/>
        <v>5.7131898378826493</v>
      </c>
      <c r="F38" s="388">
        <f t="shared" si="154"/>
        <v>5.6096459960761651</v>
      </c>
      <c r="G38" s="388">
        <f t="shared" si="154"/>
        <v>5.505170259693422</v>
      </c>
      <c r="H38" s="388">
        <f t="shared" si="154"/>
        <v>5.3997542416832358</v>
      </c>
      <c r="I38" s="388">
        <f t="shared" si="154"/>
        <v>5.2933894795109566</v>
      </c>
      <c r="J38" s="388">
        <f t="shared" si="154"/>
        <v>5.1860674344791269</v>
      </c>
      <c r="K38" s="388">
        <f t="shared" si="154"/>
        <v>5.077779491042012</v>
      </c>
      <c r="L38" s="388">
        <f t="shared" si="154"/>
        <v>4.9685169561139624</v>
      </c>
      <c r="M38" s="388">
        <f t="shared" si="154"/>
        <v>4.8582710583715603</v>
      </c>
      <c r="N38" s="388">
        <f t="shared" si="154"/>
        <v>4.747032947549477</v>
      </c>
      <c r="O38" s="388">
        <f t="shared" si="154"/>
        <v>4.6347936937299945</v>
      </c>
      <c r="P38" s="388">
        <f t="shared" si="154"/>
        <v>4.5215442866261366</v>
      </c>
      <c r="Q38" s="388">
        <f t="shared" si="154"/>
        <v>4.4072756348583448</v>
      </c>
      <c r="R38" s="388">
        <f t="shared" si="154"/>
        <v>4.2919785652246416</v>
      </c>
      <c r="S38" s="388">
        <f t="shared" si="154"/>
        <v>4.1756438219642353</v>
      </c>
      <c r="T38" s="388">
        <f t="shared" si="154"/>
        <v>4.0582620660144855</v>
      </c>
      <c r="U38" s="388">
        <f t="shared" si="154"/>
        <v>3.9398238742611884</v>
      </c>
      <c r="V38" s="388">
        <f t="shared" si="154"/>
        <v>3.820319738782112</v>
      </c>
      <c r="W38" s="388">
        <f t="shared" si="154"/>
        <v>3.6997400660837232</v>
      </c>
      <c r="X38" s="388">
        <f t="shared" si="154"/>
        <v>3.578075176331049</v>
      </c>
      <c r="Y38" s="388">
        <f t="shared" si="154"/>
        <v>3.4553153025706007</v>
      </c>
      <c r="Z38" s="388">
        <f t="shared" si="154"/>
        <v>3.331450589946308</v>
      </c>
      <c r="AA38" s="388">
        <f t="shared" si="154"/>
        <v>3.2064710949083963</v>
      </c>
      <c r="AB38" s="388">
        <f t="shared" si="154"/>
        <v>3.0803667844151441</v>
      </c>
      <c r="AC38" s="388">
        <f t="shared" si="154"/>
        <v>2.9531275351274529</v>
      </c>
      <c r="AD38" s="388">
        <f t="shared" si="154"/>
        <v>2.8247431325961729</v>
      </c>
      <c r="AE38" s="388">
        <f t="shared" si="154"/>
        <v>2.6952032704421098</v>
      </c>
      <c r="AF38" s="388">
        <f t="shared" si="154"/>
        <v>2.564497549528661</v>
      </c>
      <c r="AG38" s="388">
        <f t="shared" si="154"/>
        <v>2.432615477126991</v>
      </c>
      <c r="AH38" s="388">
        <f t="shared" si="154"/>
        <v>2.2995464660737062</v>
      </c>
      <c r="AI38" s="388">
        <f t="shared" si="154"/>
        <v>2.165279833920942</v>
      </c>
      <c r="AJ38" s="388">
        <f t="shared" si="154"/>
        <v>2.0298048020788029</v>
      </c>
      <c r="AK38" s="388">
        <f t="shared" si="154"/>
        <v>1.8931104949500843</v>
      </c>
      <c r="AL38" s="388">
        <f t="shared" si="154"/>
        <v>1.7551859390572073</v>
      </c>
      <c r="AM38" s="388">
        <f t="shared" si="154"/>
        <v>1.6160200621612943</v>
      </c>
      <c r="AN38" s="388">
        <f t="shared" si="154"/>
        <v>1.4756016923733182</v>
      </c>
      <c r="AO38" s="388">
        <f t="shared" si="154"/>
        <v>1.3339195572572502</v>
      </c>
      <c r="AP38" s="388">
        <f t="shared" si="154"/>
        <v>1.1909622829251374</v>
      </c>
      <c r="AQ38" s="388">
        <f t="shared" si="154"/>
        <v>1.046718393124036</v>
      </c>
      <c r="AR38" s="388">
        <f t="shared" si="154"/>
        <v>0.90117630831472462</v>
      </c>
      <c r="AS38" s="388">
        <f t="shared" si="154"/>
        <v>0.7543243447421295</v>
      </c>
      <c r="AT38" s="388">
        <f t="shared" si="154"/>
        <v>0.60615071349738137</v>
      </c>
      <c r="AU38" s="388">
        <f t="shared" si="154"/>
        <v>0.45664351957142957</v>
      </c>
      <c r="AV38" s="388">
        <f t="shared" si="154"/>
        <v>0.30579076090014512</v>
      </c>
      <c r="AW38" s="388">
        <f t="shared" si="154"/>
        <v>0.15358032740081851</v>
      </c>
      <c r="AX38" s="388">
        <f t="shared" si="154"/>
        <v>0</v>
      </c>
      <c r="AY38" s="388">
        <f t="shared" si="154"/>
        <v>0</v>
      </c>
      <c r="AZ38" s="388">
        <f t="shared" si="154"/>
        <v>0</v>
      </c>
      <c r="BA38" s="388">
        <f t="shared" si="154"/>
        <v>0</v>
      </c>
      <c r="BB38" s="388">
        <f t="shared" si="154"/>
        <v>0</v>
      </c>
      <c r="BC38" s="388">
        <f t="shared" si="154"/>
        <v>0</v>
      </c>
      <c r="BD38" s="388">
        <f t="shared" si="154"/>
        <v>0</v>
      </c>
      <c r="BE38" s="388">
        <f t="shared" si="154"/>
        <v>0</v>
      </c>
      <c r="BF38" s="388">
        <f t="shared" si="154"/>
        <v>0</v>
      </c>
      <c r="BG38" s="388">
        <f t="shared" si="154"/>
        <v>0</v>
      </c>
      <c r="BH38" s="388">
        <f t="shared" si="154"/>
        <v>0</v>
      </c>
      <c r="BI38" s="388">
        <f t="shared" si="154"/>
        <v>0</v>
      </c>
      <c r="BJ38" s="388">
        <f t="shared" si="154"/>
        <v>0</v>
      </c>
    </row>
    <row r="40" spans="2:122" x14ac:dyDescent="0.3">
      <c r="B40" s="181" t="s">
        <v>428</v>
      </c>
      <c r="C40" s="182" t="s">
        <v>275</v>
      </c>
      <c r="D40" s="182" t="s">
        <v>429</v>
      </c>
      <c r="E40" s="182" t="s">
        <v>430</v>
      </c>
      <c r="F40" s="182" t="s">
        <v>431</v>
      </c>
      <c r="G40" s="182" t="s">
        <v>130</v>
      </c>
    </row>
    <row r="41" spans="2:122" x14ac:dyDescent="0.3">
      <c r="B41" s="183" t="s">
        <v>441</v>
      </c>
      <c r="C41" s="168">
        <v>2500</v>
      </c>
      <c r="D41" s="379">
        <v>0.06</v>
      </c>
      <c r="E41" s="168">
        <v>120</v>
      </c>
      <c r="F41" s="169">
        <v>1</v>
      </c>
      <c r="G41" s="386">
        <f>-PMT(D41/12,E41,C41)</f>
        <v>27.755125485412361</v>
      </c>
    </row>
    <row r="43" spans="2:122" x14ac:dyDescent="0.3">
      <c r="B43" s="378" t="s">
        <v>427</v>
      </c>
      <c r="C43" s="377">
        <v>1</v>
      </c>
      <c r="D43" s="377">
        <v>2</v>
      </c>
      <c r="E43" s="377">
        <v>3</v>
      </c>
      <c r="F43" s="377">
        <v>4</v>
      </c>
      <c r="G43" s="377">
        <v>5</v>
      </c>
      <c r="H43" s="377">
        <v>6</v>
      </c>
      <c r="I43" s="377">
        <v>7</v>
      </c>
      <c r="J43" s="377">
        <v>8</v>
      </c>
      <c r="K43" s="377">
        <v>9</v>
      </c>
      <c r="L43" s="377">
        <v>10</v>
      </c>
      <c r="M43" s="377">
        <v>11</v>
      </c>
      <c r="N43" s="377">
        <v>12</v>
      </c>
      <c r="O43" s="377">
        <v>13</v>
      </c>
      <c r="P43" s="377">
        <v>14</v>
      </c>
      <c r="Q43" s="377">
        <v>15</v>
      </c>
      <c r="R43" s="377">
        <v>16</v>
      </c>
      <c r="S43" s="377">
        <v>17</v>
      </c>
      <c r="T43" s="377">
        <v>18</v>
      </c>
      <c r="U43" s="377">
        <v>19</v>
      </c>
      <c r="V43" s="377">
        <v>20</v>
      </c>
      <c r="W43" s="377">
        <v>21</v>
      </c>
      <c r="X43" s="377">
        <v>22</v>
      </c>
      <c r="Y43" s="377">
        <v>23</v>
      </c>
      <c r="Z43" s="377">
        <v>24</v>
      </c>
      <c r="AA43" s="377">
        <v>25</v>
      </c>
      <c r="AB43" s="377">
        <v>26</v>
      </c>
      <c r="AC43" s="377">
        <v>27</v>
      </c>
      <c r="AD43" s="377">
        <v>28</v>
      </c>
      <c r="AE43" s="377">
        <v>29</v>
      </c>
      <c r="AF43" s="377">
        <v>30</v>
      </c>
      <c r="AG43" s="377">
        <v>31</v>
      </c>
      <c r="AH43" s="377">
        <v>32</v>
      </c>
      <c r="AI43" s="377">
        <v>33</v>
      </c>
      <c r="AJ43" s="377">
        <v>34</v>
      </c>
      <c r="AK43" s="377">
        <v>35</v>
      </c>
      <c r="AL43" s="377">
        <v>36</v>
      </c>
      <c r="AM43" s="377">
        <v>37</v>
      </c>
      <c r="AN43" s="377">
        <v>38</v>
      </c>
      <c r="AO43" s="377">
        <v>39</v>
      </c>
      <c r="AP43" s="377">
        <v>40</v>
      </c>
      <c r="AQ43" s="377">
        <v>41</v>
      </c>
      <c r="AR43" s="377">
        <v>42</v>
      </c>
      <c r="AS43" s="377">
        <v>43</v>
      </c>
      <c r="AT43" s="377">
        <v>44</v>
      </c>
      <c r="AU43" s="377">
        <v>45</v>
      </c>
      <c r="AV43" s="377">
        <v>46</v>
      </c>
      <c r="AW43" s="377">
        <v>47</v>
      </c>
      <c r="AX43" s="377">
        <v>48</v>
      </c>
      <c r="AY43" s="377">
        <v>49</v>
      </c>
      <c r="AZ43" s="377">
        <v>50</v>
      </c>
      <c r="BA43" s="377">
        <v>51</v>
      </c>
      <c r="BB43" s="377">
        <v>52</v>
      </c>
      <c r="BC43" s="377">
        <v>53</v>
      </c>
      <c r="BD43" s="377">
        <v>54</v>
      </c>
      <c r="BE43" s="377">
        <v>55</v>
      </c>
      <c r="BF43" s="377">
        <v>56</v>
      </c>
      <c r="BG43" s="377">
        <v>57</v>
      </c>
      <c r="BH43" s="377">
        <v>58</v>
      </c>
      <c r="BI43" s="377">
        <v>59</v>
      </c>
      <c r="BJ43" s="377">
        <v>60</v>
      </c>
      <c r="BK43" s="377">
        <v>61</v>
      </c>
      <c r="BL43" s="377">
        <v>62</v>
      </c>
      <c r="BM43" s="377">
        <v>63</v>
      </c>
      <c r="BN43" s="377">
        <v>64</v>
      </c>
      <c r="BO43" s="377">
        <v>65</v>
      </c>
      <c r="BP43" s="377">
        <v>66</v>
      </c>
      <c r="BQ43" s="377">
        <v>67</v>
      </c>
      <c r="BR43" s="377">
        <v>68</v>
      </c>
      <c r="BS43" s="377">
        <v>69</v>
      </c>
      <c r="BT43" s="377">
        <v>70</v>
      </c>
      <c r="BU43" s="377">
        <v>71</v>
      </c>
      <c r="BV43" s="377">
        <v>72</v>
      </c>
      <c r="BW43" s="377">
        <v>73</v>
      </c>
      <c r="BX43" s="377">
        <v>74</v>
      </c>
      <c r="BY43" s="377">
        <v>75</v>
      </c>
      <c r="BZ43" s="377">
        <v>76</v>
      </c>
      <c r="CA43" s="377">
        <v>77</v>
      </c>
      <c r="CB43" s="377">
        <v>78</v>
      </c>
      <c r="CC43" s="377">
        <v>79</v>
      </c>
      <c r="CD43" s="377">
        <v>80</v>
      </c>
      <c r="CE43" s="377">
        <v>81</v>
      </c>
      <c r="CF43" s="377">
        <v>82</v>
      </c>
      <c r="CG43" s="377">
        <v>83</v>
      </c>
      <c r="CH43" s="377">
        <v>84</v>
      </c>
      <c r="CI43" s="377">
        <v>85</v>
      </c>
      <c r="CJ43" s="377">
        <v>86</v>
      </c>
      <c r="CK43" s="377">
        <v>87</v>
      </c>
      <c r="CL43" s="377">
        <v>88</v>
      </c>
      <c r="CM43" s="377">
        <v>89</v>
      </c>
      <c r="CN43" s="377">
        <v>90</v>
      </c>
      <c r="CO43" s="377">
        <v>91</v>
      </c>
      <c r="CP43" s="377">
        <v>92</v>
      </c>
      <c r="CQ43" s="377">
        <v>93</v>
      </c>
      <c r="CR43" s="377">
        <v>94</v>
      </c>
      <c r="CS43" s="377">
        <v>95</v>
      </c>
      <c r="CT43" s="377">
        <v>96</v>
      </c>
      <c r="CU43" s="377">
        <v>97</v>
      </c>
      <c r="CV43" s="377">
        <v>98</v>
      </c>
      <c r="CW43" s="377">
        <v>99</v>
      </c>
      <c r="CX43" s="377">
        <v>100</v>
      </c>
      <c r="CY43" s="377">
        <v>101</v>
      </c>
      <c r="CZ43" s="377">
        <v>102</v>
      </c>
      <c r="DA43" s="377">
        <v>103</v>
      </c>
      <c r="DB43" s="377">
        <v>104</v>
      </c>
      <c r="DC43" s="377">
        <v>105</v>
      </c>
      <c r="DD43" s="377">
        <v>106</v>
      </c>
      <c r="DE43" s="377">
        <v>107</v>
      </c>
      <c r="DF43" s="377">
        <v>108</v>
      </c>
      <c r="DG43" s="377">
        <v>109</v>
      </c>
      <c r="DH43" s="377">
        <v>110</v>
      </c>
      <c r="DI43" s="377">
        <v>111</v>
      </c>
      <c r="DJ43" s="377">
        <v>112</v>
      </c>
      <c r="DK43" s="377">
        <v>113</v>
      </c>
      <c r="DL43" s="377">
        <v>114</v>
      </c>
      <c r="DM43" s="377">
        <v>115</v>
      </c>
      <c r="DN43" s="377">
        <v>116</v>
      </c>
      <c r="DO43" s="377">
        <v>117</v>
      </c>
      <c r="DP43" s="377">
        <v>118</v>
      </c>
      <c r="DQ43" s="377">
        <v>119</v>
      </c>
      <c r="DR43" s="377">
        <v>120</v>
      </c>
    </row>
    <row r="44" spans="2:122" x14ac:dyDescent="0.3">
      <c r="B44" s="380" t="s">
        <v>433</v>
      </c>
      <c r="C44" s="381">
        <v>1</v>
      </c>
      <c r="D44" s="381">
        <v>2</v>
      </c>
      <c r="E44" s="381">
        <v>3</v>
      </c>
      <c r="F44" s="381">
        <v>4</v>
      </c>
      <c r="G44" s="381">
        <v>5</v>
      </c>
      <c r="H44" s="381">
        <v>6</v>
      </c>
      <c r="I44" s="381">
        <v>7</v>
      </c>
      <c r="J44" s="381">
        <v>8</v>
      </c>
      <c r="K44" s="381">
        <v>9</v>
      </c>
      <c r="L44" s="381">
        <v>10</v>
      </c>
      <c r="M44" s="381">
        <v>11</v>
      </c>
      <c r="N44" s="381">
        <v>12</v>
      </c>
      <c r="O44" s="381">
        <v>13</v>
      </c>
      <c r="P44" s="381">
        <v>14</v>
      </c>
      <c r="Q44" s="381">
        <v>15</v>
      </c>
      <c r="R44" s="381">
        <v>16</v>
      </c>
      <c r="S44" s="381">
        <v>17</v>
      </c>
      <c r="T44" s="381">
        <v>18</v>
      </c>
      <c r="U44" s="381">
        <v>19</v>
      </c>
      <c r="V44" s="381">
        <v>20</v>
      </c>
      <c r="W44" s="381">
        <v>21</v>
      </c>
      <c r="X44" s="381">
        <v>22</v>
      </c>
      <c r="Y44" s="381">
        <v>23</v>
      </c>
      <c r="Z44" s="381">
        <v>24</v>
      </c>
      <c r="AA44" s="381">
        <v>25</v>
      </c>
      <c r="AB44" s="381">
        <v>26</v>
      </c>
      <c r="AC44" s="381">
        <v>27</v>
      </c>
      <c r="AD44" s="381">
        <v>28</v>
      </c>
      <c r="AE44" s="381">
        <v>29</v>
      </c>
      <c r="AF44" s="381">
        <v>30</v>
      </c>
      <c r="AG44" s="381">
        <v>31</v>
      </c>
      <c r="AH44" s="381">
        <v>32</v>
      </c>
      <c r="AI44" s="381">
        <v>33</v>
      </c>
      <c r="AJ44" s="381">
        <v>34</v>
      </c>
      <c r="AK44" s="381">
        <v>35</v>
      </c>
      <c r="AL44" s="381">
        <v>36</v>
      </c>
      <c r="AM44" s="381">
        <v>37</v>
      </c>
      <c r="AN44" s="381">
        <v>38</v>
      </c>
      <c r="AO44" s="381">
        <v>39</v>
      </c>
      <c r="AP44" s="381">
        <v>40</v>
      </c>
      <c r="AQ44" s="381">
        <v>41</v>
      </c>
      <c r="AR44" s="381">
        <v>42</v>
      </c>
      <c r="AS44" s="381">
        <v>43</v>
      </c>
      <c r="AT44" s="381">
        <v>44</v>
      </c>
      <c r="AU44" s="381">
        <v>45</v>
      </c>
      <c r="AV44" s="381">
        <v>46</v>
      </c>
      <c r="AW44" s="381">
        <v>47</v>
      </c>
      <c r="AX44" s="381">
        <v>48</v>
      </c>
      <c r="AY44" s="381">
        <v>49</v>
      </c>
      <c r="AZ44" s="381">
        <v>50</v>
      </c>
      <c r="BA44" s="381">
        <v>51</v>
      </c>
      <c r="BB44" s="381">
        <v>52</v>
      </c>
      <c r="BC44" s="381">
        <v>53</v>
      </c>
      <c r="BD44" s="381">
        <v>54</v>
      </c>
      <c r="BE44" s="381">
        <v>55</v>
      </c>
      <c r="BF44" s="381">
        <v>56</v>
      </c>
      <c r="BG44" s="381">
        <v>57</v>
      </c>
      <c r="BH44" s="381">
        <v>58</v>
      </c>
      <c r="BI44" s="381">
        <v>59</v>
      </c>
      <c r="BJ44" s="381">
        <v>60</v>
      </c>
      <c r="BK44" s="381">
        <v>61</v>
      </c>
      <c r="BL44" s="381">
        <v>62</v>
      </c>
      <c r="BM44" s="381">
        <v>63</v>
      </c>
      <c r="BN44" s="381">
        <v>64</v>
      </c>
      <c r="BO44" s="381">
        <v>65</v>
      </c>
      <c r="BP44" s="381">
        <v>66</v>
      </c>
      <c r="BQ44" s="381">
        <v>67</v>
      </c>
      <c r="BR44" s="381">
        <v>68</v>
      </c>
      <c r="BS44" s="381">
        <v>69</v>
      </c>
      <c r="BT44" s="381">
        <v>70</v>
      </c>
      <c r="BU44" s="381">
        <v>71</v>
      </c>
      <c r="BV44" s="381">
        <v>72</v>
      </c>
      <c r="BW44" s="381">
        <v>73</v>
      </c>
      <c r="BX44" s="381">
        <v>74</v>
      </c>
      <c r="BY44" s="381">
        <v>75</v>
      </c>
      <c r="BZ44" s="381">
        <v>76</v>
      </c>
      <c r="CA44" s="381">
        <v>77</v>
      </c>
      <c r="CB44" s="381">
        <v>78</v>
      </c>
      <c r="CC44" s="381">
        <v>79</v>
      </c>
      <c r="CD44" s="381">
        <v>80</v>
      </c>
      <c r="CE44" s="381">
        <v>81</v>
      </c>
      <c r="CF44" s="381">
        <v>82</v>
      </c>
      <c r="CG44" s="381">
        <v>83</v>
      </c>
      <c r="CH44" s="381">
        <v>84</v>
      </c>
      <c r="CI44" s="381">
        <v>85</v>
      </c>
      <c r="CJ44" s="381">
        <v>86</v>
      </c>
      <c r="CK44" s="381">
        <v>87</v>
      </c>
      <c r="CL44" s="381">
        <v>88</v>
      </c>
      <c r="CM44" s="381">
        <v>89</v>
      </c>
      <c r="CN44" s="381">
        <v>90</v>
      </c>
      <c r="CO44" s="381">
        <v>91</v>
      </c>
      <c r="CP44" s="381">
        <v>92</v>
      </c>
      <c r="CQ44" s="381">
        <v>93</v>
      </c>
      <c r="CR44" s="381">
        <v>94</v>
      </c>
      <c r="CS44" s="381">
        <v>95</v>
      </c>
      <c r="CT44" s="381">
        <v>96</v>
      </c>
      <c r="CU44" s="381">
        <v>97</v>
      </c>
      <c r="CV44" s="381">
        <v>98</v>
      </c>
      <c r="CW44" s="381">
        <v>99</v>
      </c>
      <c r="CX44" s="381">
        <v>100</v>
      </c>
      <c r="CY44" s="381">
        <v>101</v>
      </c>
      <c r="CZ44" s="381">
        <v>102</v>
      </c>
      <c r="DA44" s="381">
        <v>103</v>
      </c>
      <c r="DB44" s="381">
        <v>104</v>
      </c>
      <c r="DC44" s="381">
        <v>105</v>
      </c>
      <c r="DD44" s="381">
        <v>106</v>
      </c>
      <c r="DE44" s="381">
        <v>107</v>
      </c>
      <c r="DF44" s="381">
        <v>108</v>
      </c>
      <c r="DG44" s="381">
        <v>109</v>
      </c>
      <c r="DH44" s="381">
        <v>110</v>
      </c>
      <c r="DI44" s="381">
        <v>111</v>
      </c>
      <c r="DJ44" s="381">
        <v>112</v>
      </c>
      <c r="DK44" s="381">
        <v>113</v>
      </c>
      <c r="DL44" s="381">
        <v>114</v>
      </c>
      <c r="DM44" s="381">
        <v>115</v>
      </c>
      <c r="DN44" s="381">
        <v>116</v>
      </c>
      <c r="DO44" s="381">
        <v>117</v>
      </c>
      <c r="DP44" s="381">
        <v>118</v>
      </c>
      <c r="DQ44" s="381">
        <v>119</v>
      </c>
      <c r="DR44" s="381">
        <v>120</v>
      </c>
    </row>
    <row r="45" spans="2:122" x14ac:dyDescent="0.3">
      <c r="B45" s="382" t="s">
        <v>434</v>
      </c>
      <c r="C45" s="388">
        <f>-IFERROR(PPMT($D$41/12,C44,$E$41,$C$41),0)</f>
        <v>15.255125485412359</v>
      </c>
      <c r="D45" s="388">
        <f t="shared" ref="D45:BO45" si="155">-IFERROR(PPMT($D$41/12,D44,$E$41,$C$41),0)</f>
        <v>15.331401112839425</v>
      </c>
      <c r="E45" s="388">
        <f t="shared" si="155"/>
        <v>15.408058118403622</v>
      </c>
      <c r="F45" s="388">
        <f t="shared" si="155"/>
        <v>15.485098408995636</v>
      </c>
      <c r="G45" s="388">
        <f t="shared" si="155"/>
        <v>15.562523901040615</v>
      </c>
      <c r="H45" s="388">
        <f t="shared" si="155"/>
        <v>15.640336520545818</v>
      </c>
      <c r="I45" s="388">
        <f t="shared" si="155"/>
        <v>15.718538203148549</v>
      </c>
      <c r="J45" s="388">
        <f t="shared" si="155"/>
        <v>15.797130894164294</v>
      </c>
      <c r="K45" s="388">
        <f t="shared" si="155"/>
        <v>15.876116548635114</v>
      </c>
      <c r="L45" s="388">
        <f t="shared" si="155"/>
        <v>15.955497131378289</v>
      </c>
      <c r="M45" s="388">
        <f t="shared" si="155"/>
        <v>16.035274617035178</v>
      </c>
      <c r="N45" s="388">
        <f t="shared" si="155"/>
        <v>16.115450990120355</v>
      </c>
      <c r="O45" s="388">
        <f t="shared" si="155"/>
        <v>16.196028245070956</v>
      </c>
      <c r="P45" s="388">
        <f t="shared" si="155"/>
        <v>16.277008386296313</v>
      </c>
      <c r="Q45" s="388">
        <f t="shared" si="155"/>
        <v>16.358393428227792</v>
      </c>
      <c r="R45" s="388">
        <f t="shared" si="155"/>
        <v>16.440185395368932</v>
      </c>
      <c r="S45" s="388">
        <f t="shared" si="155"/>
        <v>16.522386322345778</v>
      </c>
      <c r="T45" s="388">
        <f t="shared" si="155"/>
        <v>16.604998253957508</v>
      </c>
      <c r="U45" s="388">
        <f t="shared" si="155"/>
        <v>16.688023245227296</v>
      </c>
      <c r="V45" s="388">
        <f t="shared" si="155"/>
        <v>16.771463361453431</v>
      </c>
      <c r="W45" s="388">
        <f t="shared" si="155"/>
        <v>16.855320678260696</v>
      </c>
      <c r="X45" s="388">
        <f t="shared" si="155"/>
        <v>16.939597281652002</v>
      </c>
      <c r="Y45" s="388">
        <f t="shared" si="155"/>
        <v>17.024295268060261</v>
      </c>
      <c r="Z45" s="388">
        <f t="shared" si="155"/>
        <v>17.109416744400562</v>
      </c>
      <c r="AA45" s="388">
        <f t="shared" si="155"/>
        <v>17.194963828122567</v>
      </c>
      <c r="AB45" s="388">
        <f t="shared" si="155"/>
        <v>17.280938647263181</v>
      </c>
      <c r="AC45" s="388">
        <f t="shared" si="155"/>
        <v>17.367343340499495</v>
      </c>
      <c r="AD45" s="388">
        <f t="shared" si="155"/>
        <v>17.454180057201992</v>
      </c>
      <c r="AE45" s="388">
        <f t="shared" si="155"/>
        <v>17.541450957488003</v>
      </c>
      <c r="AF45" s="388">
        <f t="shared" si="155"/>
        <v>17.629158212275442</v>
      </c>
      <c r="AG45" s="388">
        <f t="shared" si="155"/>
        <v>17.717304003336817</v>
      </c>
      <c r="AH45" s="388">
        <f t="shared" si="155"/>
        <v>17.805890523353501</v>
      </c>
      <c r="AI45" s="388">
        <f t="shared" si="155"/>
        <v>17.894919975970272</v>
      </c>
      <c r="AJ45" s="388">
        <f t="shared" si="155"/>
        <v>17.984394575850121</v>
      </c>
      <c r="AK45" s="388">
        <f t="shared" si="155"/>
        <v>18.074316548729374</v>
      </c>
      <c r="AL45" s="388">
        <f t="shared" si="155"/>
        <v>18.164688131473021</v>
      </c>
      <c r="AM45" s="388">
        <f t="shared" si="155"/>
        <v>18.255511572130384</v>
      </c>
      <c r="AN45" s="388">
        <f t="shared" si="155"/>
        <v>18.346789129991034</v>
      </c>
      <c r="AO45" s="388">
        <f t="shared" si="155"/>
        <v>18.43852307564099</v>
      </c>
      <c r="AP45" s="388">
        <f t="shared" si="155"/>
        <v>18.530715691019196</v>
      </c>
      <c r="AQ45" s="388">
        <f t="shared" si="155"/>
        <v>18.623369269474292</v>
      </c>
      <c r="AR45" s="388">
        <f t="shared" si="155"/>
        <v>18.716486115821667</v>
      </c>
      <c r="AS45" s="388">
        <f t="shared" si="155"/>
        <v>18.810068546400771</v>
      </c>
      <c r="AT45" s="388">
        <f t="shared" si="155"/>
        <v>18.904118889132775</v>
      </c>
      <c r="AU45" s="388">
        <f t="shared" si="155"/>
        <v>18.99863948357844</v>
      </c>
      <c r="AV45" s="388">
        <f t="shared" si="155"/>
        <v>19.093632680996333</v>
      </c>
      <c r="AW45" s="388">
        <f t="shared" si="155"/>
        <v>19.189100844401313</v>
      </c>
      <c r="AX45" s="388">
        <f t="shared" si="155"/>
        <v>19.285046348623322</v>
      </c>
      <c r="AY45" s="388">
        <f t="shared" si="155"/>
        <v>19.381471580366437</v>
      </c>
      <c r="AZ45" s="388">
        <f t="shared" si="155"/>
        <v>19.478378938268271</v>
      </c>
      <c r="BA45" s="388">
        <f t="shared" si="155"/>
        <v>19.575770832959613</v>
      </c>
      <c r="BB45" s="388">
        <f t="shared" si="155"/>
        <v>19.67364968712441</v>
      </c>
      <c r="BC45" s="388">
        <f t="shared" si="155"/>
        <v>19.772017935560033</v>
      </c>
      <c r="BD45" s="388">
        <f t="shared" si="155"/>
        <v>19.870878025237829</v>
      </c>
      <c r="BE45" s="388">
        <f t="shared" si="155"/>
        <v>19.97023241536402</v>
      </c>
      <c r="BF45" s="388">
        <f t="shared" si="155"/>
        <v>20.07008357744084</v>
      </c>
      <c r="BG45" s="388">
        <f t="shared" si="155"/>
        <v>20.170433995328043</v>
      </c>
      <c r="BH45" s="388">
        <f t="shared" si="155"/>
        <v>20.271286165304684</v>
      </c>
      <c r="BI45" s="388">
        <f t="shared" si="155"/>
        <v>20.372642596131211</v>
      </c>
      <c r="BJ45" s="388">
        <f t="shared" si="155"/>
        <v>20.474505809111864</v>
      </c>
      <c r="BK45" s="388">
        <f t="shared" si="155"/>
        <v>20.576878338157425</v>
      </c>
      <c r="BL45" s="388">
        <f t="shared" si="155"/>
        <v>20.679762729848207</v>
      </c>
      <c r="BM45" s="388">
        <f t="shared" si="155"/>
        <v>20.783161543497449</v>
      </c>
      <c r="BN45" s="388">
        <f t="shared" si="155"/>
        <v>20.887077351214938</v>
      </c>
      <c r="BO45" s="388">
        <f t="shared" si="155"/>
        <v>20.991512737971018</v>
      </c>
      <c r="BP45" s="388">
        <f t="shared" ref="BP45:DR45" si="156">-IFERROR(PPMT($D$41/12,BP44,$E$41,$C$41),0)</f>
        <v>21.096470301660869</v>
      </c>
      <c r="BQ45" s="388">
        <f t="shared" si="156"/>
        <v>21.201952653169172</v>
      </c>
      <c r="BR45" s="388">
        <f t="shared" si="156"/>
        <v>21.307962416435018</v>
      </c>
      <c r="BS45" s="388">
        <f t="shared" si="156"/>
        <v>21.414502228517193</v>
      </c>
      <c r="BT45" s="388">
        <f t="shared" si="156"/>
        <v>21.521574739659783</v>
      </c>
      <c r="BU45" s="388">
        <f t="shared" si="156"/>
        <v>21.629182613358076</v>
      </c>
      <c r="BV45" s="388">
        <f t="shared" si="156"/>
        <v>21.737328526424871</v>
      </c>
      <c r="BW45" s="388">
        <f t="shared" si="156"/>
        <v>21.846015169056997</v>
      </c>
      <c r="BX45" s="388">
        <f t="shared" si="156"/>
        <v>21.955245244902279</v>
      </c>
      <c r="BY45" s="388">
        <f t="shared" si="156"/>
        <v>22.065021471126787</v>
      </c>
      <c r="BZ45" s="388">
        <f t="shared" si="156"/>
        <v>22.175346578482422</v>
      </c>
      <c r="CA45" s="388">
        <f t="shared" si="156"/>
        <v>22.286223311374833</v>
      </c>
      <c r="CB45" s="388">
        <f t="shared" si="156"/>
        <v>22.397654427931712</v>
      </c>
      <c r="CC45" s="388">
        <f t="shared" si="156"/>
        <v>22.509642700071367</v>
      </c>
      <c r="CD45" s="388">
        <f t="shared" si="156"/>
        <v>22.622190913571725</v>
      </c>
      <c r="CE45" s="388">
        <f t="shared" si="156"/>
        <v>22.735301868139583</v>
      </c>
      <c r="CF45" s="388">
        <f t="shared" si="156"/>
        <v>22.848978377480279</v>
      </c>
      <c r="CG45" s="388">
        <f t="shared" si="156"/>
        <v>22.963223269367685</v>
      </c>
      <c r="CH45" s="388">
        <f t="shared" si="156"/>
        <v>23.078039385714526</v>
      </c>
      <c r="CI45" s="388">
        <f t="shared" si="156"/>
        <v>23.193429582643095</v>
      </c>
      <c r="CJ45" s="388">
        <f t="shared" si="156"/>
        <v>23.309396730556308</v>
      </c>
      <c r="CK45" s="388">
        <f t="shared" si="156"/>
        <v>23.425943714209094</v>
      </c>
      <c r="CL45" s="388">
        <f t="shared" si="156"/>
        <v>23.54307343278014</v>
      </c>
      <c r="CM45" s="388">
        <f t="shared" si="156"/>
        <v>23.66078879994404</v>
      </c>
      <c r="CN45" s="388">
        <f t="shared" si="156"/>
        <v>23.779092743943757</v>
      </c>
      <c r="CO45" s="388">
        <f t="shared" si="156"/>
        <v>23.897988207663481</v>
      </c>
      <c r="CP45" s="388">
        <f t="shared" si="156"/>
        <v>24.017478148701795</v>
      </c>
      <c r="CQ45" s="388">
        <f t="shared" si="156"/>
        <v>24.137565539445305</v>
      </c>
      <c r="CR45" s="388">
        <f t="shared" si="156"/>
        <v>24.25825336714253</v>
      </c>
      <c r="CS45" s="388">
        <f t="shared" si="156"/>
        <v>24.379544633978242</v>
      </c>
      <c r="CT45" s="388">
        <f t="shared" si="156"/>
        <v>24.501442357148136</v>
      </c>
      <c r="CU45" s="388">
        <f t="shared" si="156"/>
        <v>24.623949568933874</v>
      </c>
      <c r="CV45" s="388">
        <f t="shared" si="156"/>
        <v>24.747069316778543</v>
      </c>
      <c r="CW45" s="388">
        <f t="shared" si="156"/>
        <v>24.870804663362438</v>
      </c>
      <c r="CX45" s="388">
        <f t="shared" si="156"/>
        <v>24.995158686679247</v>
      </c>
      <c r="CY45" s="388">
        <f t="shared" si="156"/>
        <v>25.120134480112647</v>
      </c>
      <c r="CZ45" s="388">
        <f t="shared" si="156"/>
        <v>25.245735152513209</v>
      </c>
      <c r="DA45" s="388">
        <f t="shared" si="156"/>
        <v>25.371963828275774</v>
      </c>
      <c r="DB45" s="388">
        <f t="shared" si="156"/>
        <v>25.498823647417154</v>
      </c>
      <c r="DC45" s="388">
        <f t="shared" si="156"/>
        <v>25.626317765654239</v>
      </c>
      <c r="DD45" s="388">
        <f t="shared" si="156"/>
        <v>25.75444935448251</v>
      </c>
      <c r="DE45" s="388">
        <f t="shared" si="156"/>
        <v>25.883221601254924</v>
      </c>
      <c r="DF45" s="388">
        <f t="shared" si="156"/>
        <v>26.012637709261199</v>
      </c>
      <c r="DG45" s="388">
        <f t="shared" si="156"/>
        <v>26.142700897807504</v>
      </c>
      <c r="DH45" s="388">
        <f t="shared" si="156"/>
        <v>26.273414402296538</v>
      </c>
      <c r="DI45" s="388">
        <f t="shared" si="156"/>
        <v>26.404781474308024</v>
      </c>
      <c r="DJ45" s="388">
        <f t="shared" si="156"/>
        <v>26.536805381679564</v>
      </c>
      <c r="DK45" s="388">
        <f t="shared" si="156"/>
        <v>26.66948940858796</v>
      </c>
      <c r="DL45" s="388">
        <f t="shared" si="156"/>
        <v>26.802836855630904</v>
      </c>
      <c r="DM45" s="388">
        <f t="shared" si="156"/>
        <v>26.936851039909058</v>
      </c>
      <c r="DN45" s="388">
        <f t="shared" si="156"/>
        <v>27.071535295108603</v>
      </c>
      <c r="DO45" s="388">
        <f t="shared" si="156"/>
        <v>27.206892971584143</v>
      </c>
      <c r="DP45" s="388">
        <f t="shared" si="156"/>
        <v>27.342927436442064</v>
      </c>
      <c r="DQ45" s="388">
        <f t="shared" si="156"/>
        <v>27.479642073624277</v>
      </c>
      <c r="DR45" s="388">
        <f t="shared" si="156"/>
        <v>27.617040283992395</v>
      </c>
    </row>
    <row r="46" spans="2:122" x14ac:dyDescent="0.3">
      <c r="B46" s="382" t="s">
        <v>435</v>
      </c>
      <c r="C46" s="388">
        <f>-IFERROR(IPMT($D$41/12,C45,$E$41,$C$41),0)</f>
        <v>11.375903587887588</v>
      </c>
      <c r="D46" s="388">
        <f t="shared" ref="D46:BO46" si="157">-IFERROR(IPMT($D$41/12,D45,$E$41,$C$41),0)</f>
        <v>11.369671290189538</v>
      </c>
      <c r="E46" s="388">
        <f t="shared" si="157"/>
        <v>11.36340544179571</v>
      </c>
      <c r="F46" s="388">
        <f t="shared" si="157"/>
        <v>11.357105850078003</v>
      </c>
      <c r="G46" s="388">
        <f t="shared" si="157"/>
        <v>11.350772321181553</v>
      </c>
      <c r="H46" s="388">
        <f t="shared" si="157"/>
        <v>11.344404660015716</v>
      </c>
      <c r="I46" s="388">
        <f t="shared" si="157"/>
        <v>11.338002670244988</v>
      </c>
      <c r="J46" s="388">
        <f t="shared" si="157"/>
        <v>11.331566154279855</v>
      </c>
      <c r="K46" s="388">
        <f t="shared" si="157"/>
        <v>11.325094913267565</v>
      </c>
      <c r="L46" s="388">
        <f t="shared" si="157"/>
        <v>11.318588747082806</v>
      </c>
      <c r="M46" s="388">
        <f t="shared" si="157"/>
        <v>11.312047454318327</v>
      </c>
      <c r="N46" s="388">
        <f t="shared" si="157"/>
        <v>11.305470832275434</v>
      </c>
      <c r="O46" s="388">
        <f t="shared" si="157"/>
        <v>11.298858676954469</v>
      </c>
      <c r="P46" s="388">
        <f t="shared" si="157"/>
        <v>11.292210783045153</v>
      </c>
      <c r="Q46" s="388">
        <f t="shared" si="157"/>
        <v>11.285526943916857</v>
      </c>
      <c r="R46" s="388">
        <f t="shared" si="157"/>
        <v>11.278806951608814</v>
      </c>
      <c r="S46" s="388">
        <f t="shared" si="157"/>
        <v>11.272050596820209</v>
      </c>
      <c r="T46" s="388">
        <f t="shared" si="157"/>
        <v>11.265257668900208</v>
      </c>
      <c r="U46" s="388">
        <f t="shared" si="157"/>
        <v>11.258427955837892</v>
      </c>
      <c r="V46" s="388">
        <f t="shared" si="157"/>
        <v>11.251561244252102</v>
      </c>
      <c r="W46" s="388">
        <f t="shared" si="157"/>
        <v>11.244657319381202</v>
      </c>
      <c r="X46" s="388">
        <f t="shared" si="157"/>
        <v>11.237715965072734</v>
      </c>
      <c r="Y46" s="388">
        <f t="shared" si="157"/>
        <v>11.230736963773015</v>
      </c>
      <c r="Z46" s="388">
        <f t="shared" si="157"/>
        <v>11.223720096516605</v>
      </c>
      <c r="AA46" s="388">
        <f t="shared" si="157"/>
        <v>11.216665142915716</v>
      </c>
      <c r="AB46" s="388">
        <f t="shared" si="157"/>
        <v>11.209571881149492</v>
      </c>
      <c r="AC46" s="388">
        <f t="shared" si="157"/>
        <v>11.202440087953242</v>
      </c>
      <c r="AD46" s="388">
        <f t="shared" si="157"/>
        <v>11.195269538607526</v>
      </c>
      <c r="AE46" s="388">
        <f t="shared" si="157"/>
        <v>11.188060006927188</v>
      </c>
      <c r="AF46" s="388">
        <f t="shared" si="157"/>
        <v>11.180811265250259</v>
      </c>
      <c r="AG46" s="388">
        <f t="shared" si="157"/>
        <v>11.173523084426787</v>
      </c>
      <c r="AH46" s="388">
        <f t="shared" si="157"/>
        <v>11.166195233807548</v>
      </c>
      <c r="AI46" s="388">
        <f t="shared" si="157"/>
        <v>11.158827481232677</v>
      </c>
      <c r="AJ46" s="388">
        <f t="shared" si="157"/>
        <v>11.151419593020176</v>
      </c>
      <c r="AK46" s="388">
        <f t="shared" si="157"/>
        <v>11.143971333954333</v>
      </c>
      <c r="AL46" s="388">
        <f t="shared" si="157"/>
        <v>11.136482467274048</v>
      </c>
      <c r="AM46" s="388">
        <f t="shared" si="157"/>
        <v>11.128952754661013</v>
      </c>
      <c r="AN46" s="388">
        <f t="shared" si="157"/>
        <v>11.121381956227848</v>
      </c>
      <c r="AO46" s="388">
        <f t="shared" si="157"/>
        <v>11.113769830506074</v>
      </c>
      <c r="AP46" s="388">
        <f t="shared" si="157"/>
        <v>11.106116134434005</v>
      </c>
      <c r="AQ46" s="388">
        <f t="shared" si="157"/>
        <v>11.098420623344557</v>
      </c>
      <c r="AR46" s="388">
        <f t="shared" si="157"/>
        <v>11.090683050952869</v>
      </c>
      <c r="AS46" s="388">
        <f t="shared" si="157"/>
        <v>11.082903169343899</v>
      </c>
      <c r="AT46" s="388">
        <f t="shared" si="157"/>
        <v>11.075080728959865</v>
      </c>
      <c r="AU46" s="388">
        <f t="shared" si="157"/>
        <v>11.06721547858757</v>
      </c>
      <c r="AV46" s="388">
        <f t="shared" si="157"/>
        <v>11.059307165345629</v>
      </c>
      <c r="AW46" s="388">
        <f t="shared" si="157"/>
        <v>11.051355534671568</v>
      </c>
      <c r="AX46" s="388">
        <f t="shared" si="157"/>
        <v>11.043360330308815</v>
      </c>
      <c r="AY46" s="388">
        <f t="shared" si="157"/>
        <v>11.035321294293565</v>
      </c>
      <c r="AZ46" s="388">
        <f t="shared" si="157"/>
        <v>11.02723816694154</v>
      </c>
      <c r="BA46" s="388">
        <f t="shared" si="157"/>
        <v>11.019110686834594</v>
      </c>
      <c r="BB46" s="388">
        <f t="shared" si="157"/>
        <v>11.010938590807255</v>
      </c>
      <c r="BC46" s="388">
        <f t="shared" si="157"/>
        <v>11.002721613933073</v>
      </c>
      <c r="BD46" s="388">
        <f t="shared" si="157"/>
        <v>10.994459489510902</v>
      </c>
      <c r="BE46" s="388">
        <f t="shared" si="157"/>
        <v>10.986151949051033</v>
      </c>
      <c r="BF46" s="388">
        <f t="shared" si="157"/>
        <v>10.977798722261184</v>
      </c>
      <c r="BG46" s="388">
        <f t="shared" si="157"/>
        <v>10.969399537032405</v>
      </c>
      <c r="BH46" s="388">
        <f t="shared" si="157"/>
        <v>10.960954119424795</v>
      </c>
      <c r="BI46" s="388">
        <f t="shared" si="157"/>
        <v>10.952462193653151</v>
      </c>
      <c r="BJ46" s="388">
        <f t="shared" si="157"/>
        <v>10.943923482072428</v>
      </c>
      <c r="BK46" s="388">
        <f t="shared" si="157"/>
        <v>10.935337705163104</v>
      </c>
      <c r="BL46" s="388">
        <f t="shared" si="157"/>
        <v>10.926704581516397</v>
      </c>
      <c r="BM46" s="388">
        <f t="shared" si="157"/>
        <v>10.918023827819324</v>
      </c>
      <c r="BN46" s="388">
        <f t="shared" si="157"/>
        <v>10.909295158839672</v>
      </c>
      <c r="BO46" s="388">
        <f t="shared" si="157"/>
        <v>10.90051828741078</v>
      </c>
      <c r="BP46" s="388">
        <f t="shared" ref="BP46:DR46" si="158">-IFERROR(IPMT($D$41/12,BP45,$E$41,$C$41),0)</f>
        <v>10.891692924416198</v>
      </c>
      <c r="BQ46" s="388">
        <f t="shared" si="158"/>
        <v>10.882818778774213</v>
      </c>
      <c r="BR46" s="388">
        <f t="shared" si="158"/>
        <v>10.873895557422218</v>
      </c>
      <c r="BS46" s="388">
        <f t="shared" si="158"/>
        <v>10.86492296530094</v>
      </c>
      <c r="BT46" s="388">
        <f t="shared" si="158"/>
        <v>10.855900705338515</v>
      </c>
      <c r="BU46" s="388">
        <f t="shared" si="158"/>
        <v>10.846828478434436</v>
      </c>
      <c r="BV46" s="388">
        <f t="shared" si="158"/>
        <v>10.837705983443302</v>
      </c>
      <c r="BW46" s="388">
        <f t="shared" si="158"/>
        <v>10.828532917158489</v>
      </c>
      <c r="BX46" s="388">
        <f t="shared" si="158"/>
        <v>10.819308974295582</v>
      </c>
      <c r="BY46" s="388">
        <f t="shared" si="158"/>
        <v>10.810033847475735</v>
      </c>
      <c r="BZ46" s="388">
        <f t="shared" si="158"/>
        <v>10.800707227208786</v>
      </c>
      <c r="CA46" s="388">
        <f t="shared" si="158"/>
        <v>10.791328801876316</v>
      </c>
      <c r="CB46" s="388">
        <f t="shared" si="158"/>
        <v>10.781898257714445</v>
      </c>
      <c r="CC46" s="388">
        <f t="shared" si="158"/>
        <v>10.772415278796544</v>
      </c>
      <c r="CD46" s="388">
        <f t="shared" si="158"/>
        <v>10.762879547015732</v>
      </c>
      <c r="CE46" s="388">
        <f t="shared" si="158"/>
        <v>10.753290742067234</v>
      </c>
      <c r="CF46" s="388">
        <f t="shared" si="158"/>
        <v>10.743648541430575</v>
      </c>
      <c r="CG46" s="388">
        <f t="shared" si="158"/>
        <v>10.733952620351577</v>
      </c>
      <c r="CH46" s="388">
        <f t="shared" si="158"/>
        <v>10.724202651824212</v>
      </c>
      <c r="CI46" s="388">
        <f t="shared" si="158"/>
        <v>10.714398306572278</v>
      </c>
      <c r="CJ46" s="388">
        <f t="shared" si="158"/>
        <v>10.704539253030873</v>
      </c>
      <c r="CK46" s="388">
        <f t="shared" si="158"/>
        <v>10.694625157327739</v>
      </c>
      <c r="CL46" s="388">
        <f t="shared" si="158"/>
        <v>10.684655683264378</v>
      </c>
      <c r="CM46" s="388">
        <f t="shared" si="158"/>
        <v>10.674630492297036</v>
      </c>
      <c r="CN46" s="388">
        <f t="shared" si="158"/>
        <v>10.664549243517447</v>
      </c>
      <c r="CO46" s="388">
        <f t="shared" si="158"/>
        <v>10.654411593633451</v>
      </c>
      <c r="CP46" s="388">
        <f t="shared" si="158"/>
        <v>10.64421719694939</v>
      </c>
      <c r="CQ46" s="388">
        <f t="shared" si="158"/>
        <v>10.633965705346313</v>
      </c>
      <c r="CR46" s="388">
        <f t="shared" si="158"/>
        <v>10.623656768262018</v>
      </c>
      <c r="CS46" s="388">
        <f t="shared" si="158"/>
        <v>10.613290032670861</v>
      </c>
      <c r="CT46" s="388">
        <f t="shared" si="158"/>
        <v>10.602865143063418</v>
      </c>
      <c r="CU46" s="388">
        <f t="shared" si="158"/>
        <v>10.592381741425902</v>
      </c>
      <c r="CV46" s="388">
        <f t="shared" si="158"/>
        <v>10.58183946721941</v>
      </c>
      <c r="CW46" s="388">
        <f t="shared" si="158"/>
        <v>10.571237957358969</v>
      </c>
      <c r="CX46" s="388">
        <f t="shared" si="158"/>
        <v>10.560576846192344</v>
      </c>
      <c r="CY46" s="388">
        <f t="shared" si="158"/>
        <v>10.549855765478696</v>
      </c>
      <c r="CZ46" s="388">
        <f t="shared" si="158"/>
        <v>10.539074344366977</v>
      </c>
      <c r="DA46" s="388">
        <f t="shared" si="158"/>
        <v>10.528232209374151</v>
      </c>
      <c r="DB46" s="388">
        <f t="shared" si="158"/>
        <v>10.517328984363171</v>
      </c>
      <c r="DC46" s="388">
        <f t="shared" si="158"/>
        <v>10.506364290520786</v>
      </c>
      <c r="DD46" s="388">
        <f t="shared" si="158"/>
        <v>10.495337746335069</v>
      </c>
      <c r="DE46" s="388">
        <f t="shared" si="158"/>
        <v>10.484248967572782</v>
      </c>
      <c r="DF46" s="388">
        <f t="shared" si="158"/>
        <v>10.47309756725647</v>
      </c>
      <c r="DG46" s="388">
        <f t="shared" si="158"/>
        <v>10.461883155641374</v>
      </c>
      <c r="DH46" s="388">
        <f t="shared" si="158"/>
        <v>10.450605340192082</v>
      </c>
      <c r="DI46" s="388">
        <f t="shared" si="158"/>
        <v>10.439263725558961</v>
      </c>
      <c r="DJ46" s="388">
        <f t="shared" si="158"/>
        <v>10.427857913554355</v>
      </c>
      <c r="DK46" s="388">
        <f t="shared" si="158"/>
        <v>10.416387503128556</v>
      </c>
      <c r="DL46" s="388">
        <f t="shared" si="158"/>
        <v>10.404852090345527</v>
      </c>
      <c r="DM46" s="388">
        <f t="shared" si="158"/>
        <v>10.39325126835837</v>
      </c>
      <c r="DN46" s="388">
        <f t="shared" si="158"/>
        <v>10.381584627384587</v>
      </c>
      <c r="DO46" s="388">
        <f t="shared" si="158"/>
        <v>10.369851754681061</v>
      </c>
      <c r="DP46" s="388">
        <f t="shared" si="158"/>
        <v>10.358052234518798</v>
      </c>
      <c r="DQ46" s="388">
        <f t="shared" si="158"/>
        <v>10.346185648157418</v>
      </c>
      <c r="DR46" s="388">
        <f t="shared" si="158"/>
        <v>10.334251573819396</v>
      </c>
    </row>
    <row r="47" spans="2:122" x14ac:dyDescent="0.3">
      <c r="B47" s="382" t="s">
        <v>436</v>
      </c>
      <c r="C47" s="389">
        <f t="shared" ref="C47:BN47" si="159">C45+C46</f>
        <v>26.631029073299949</v>
      </c>
      <c r="D47" s="389">
        <f t="shared" si="159"/>
        <v>26.701072403028963</v>
      </c>
      <c r="E47" s="389">
        <f t="shared" si="159"/>
        <v>26.771463560199329</v>
      </c>
      <c r="F47" s="389">
        <f t="shared" si="159"/>
        <v>26.84220425907364</v>
      </c>
      <c r="G47" s="389">
        <f t="shared" si="159"/>
        <v>26.913296222222169</v>
      </c>
      <c r="H47" s="389">
        <f t="shared" si="159"/>
        <v>26.984741180561535</v>
      </c>
      <c r="I47" s="389">
        <f t="shared" si="159"/>
        <v>27.056540873393537</v>
      </c>
      <c r="J47" s="389">
        <f t="shared" si="159"/>
        <v>27.128697048444149</v>
      </c>
      <c r="K47" s="389">
        <f t="shared" si="159"/>
        <v>27.20121146190268</v>
      </c>
      <c r="L47" s="389">
        <f t="shared" si="159"/>
        <v>27.274085878461094</v>
      </c>
      <c r="M47" s="389">
        <f t="shared" si="159"/>
        <v>27.347322071353503</v>
      </c>
      <c r="N47" s="389">
        <f t="shared" si="159"/>
        <v>27.42092182239579</v>
      </c>
      <c r="O47" s="389">
        <f t="shared" si="159"/>
        <v>27.494886922025422</v>
      </c>
      <c r="P47" s="389">
        <f t="shared" si="159"/>
        <v>27.569219169341466</v>
      </c>
      <c r="Q47" s="389">
        <f t="shared" si="159"/>
        <v>27.643920372144649</v>
      </c>
      <c r="R47" s="389">
        <f t="shared" si="159"/>
        <v>27.718992346977746</v>
      </c>
      <c r="S47" s="389">
        <f t="shared" si="159"/>
        <v>27.794436919165989</v>
      </c>
      <c r="T47" s="389">
        <f t="shared" si="159"/>
        <v>27.870255922857716</v>
      </c>
      <c r="U47" s="389">
        <f t="shared" si="159"/>
        <v>27.946451201065187</v>
      </c>
      <c r="V47" s="389">
        <f t="shared" si="159"/>
        <v>28.023024605705533</v>
      </c>
      <c r="W47" s="389">
        <f t="shared" si="159"/>
        <v>28.099977997641901</v>
      </c>
      <c r="X47" s="389">
        <f t="shared" si="159"/>
        <v>28.177313246724736</v>
      </c>
      <c r="Y47" s="389">
        <f t="shared" si="159"/>
        <v>28.255032231833276</v>
      </c>
      <c r="Z47" s="389">
        <f t="shared" si="159"/>
        <v>28.333136840917167</v>
      </c>
      <c r="AA47" s="389">
        <f t="shared" si="159"/>
        <v>28.411628971038283</v>
      </c>
      <c r="AB47" s="389">
        <f t="shared" si="159"/>
        <v>28.490510528412671</v>
      </c>
      <c r="AC47" s="389">
        <f t="shared" si="159"/>
        <v>28.569783428452737</v>
      </c>
      <c r="AD47" s="389">
        <f t="shared" si="159"/>
        <v>28.649449595809518</v>
      </c>
      <c r="AE47" s="389">
        <f t="shared" si="159"/>
        <v>28.729510964415191</v>
      </c>
      <c r="AF47" s="389">
        <f t="shared" si="159"/>
        <v>28.809969477525701</v>
      </c>
      <c r="AG47" s="389">
        <f t="shared" si="159"/>
        <v>28.890827087763604</v>
      </c>
      <c r="AH47" s="389">
        <f t="shared" si="159"/>
        <v>28.972085757161047</v>
      </c>
      <c r="AI47" s="389">
        <f t="shared" si="159"/>
        <v>29.053747457202949</v>
      </c>
      <c r="AJ47" s="389">
        <f t="shared" si="159"/>
        <v>29.135814168870297</v>
      </c>
      <c r="AK47" s="389">
        <f t="shared" si="159"/>
        <v>29.218287882683708</v>
      </c>
      <c r="AL47" s="389">
        <f t="shared" si="159"/>
        <v>29.301170598747071</v>
      </c>
      <c r="AM47" s="389">
        <f t="shared" si="159"/>
        <v>29.384464326791395</v>
      </c>
      <c r="AN47" s="389">
        <f t="shared" si="159"/>
        <v>29.468171086218881</v>
      </c>
      <c r="AO47" s="389">
        <f t="shared" si="159"/>
        <v>29.552292906147066</v>
      </c>
      <c r="AP47" s="389">
        <f t="shared" si="159"/>
        <v>29.6368318254532</v>
      </c>
      <c r="AQ47" s="389">
        <f t="shared" si="159"/>
        <v>29.721789892818848</v>
      </c>
      <c r="AR47" s="389">
        <f t="shared" si="159"/>
        <v>29.807169166774536</v>
      </c>
      <c r="AS47" s="389">
        <f t="shared" si="159"/>
        <v>29.892971715744672</v>
      </c>
      <c r="AT47" s="389">
        <f t="shared" si="159"/>
        <v>29.97919961809264</v>
      </c>
      <c r="AU47" s="389">
        <f t="shared" si="159"/>
        <v>30.065854962166011</v>
      </c>
      <c r="AV47" s="389">
        <f t="shared" si="159"/>
        <v>30.152939846341962</v>
      </c>
      <c r="AW47" s="389">
        <f t="shared" si="159"/>
        <v>30.240456379072882</v>
      </c>
      <c r="AX47" s="389">
        <f t="shared" si="159"/>
        <v>30.328406678932136</v>
      </c>
      <c r="AY47" s="389">
        <f t="shared" si="159"/>
        <v>30.416792874660004</v>
      </c>
      <c r="AZ47" s="389">
        <f t="shared" si="159"/>
        <v>30.505617105209812</v>
      </c>
      <c r="BA47" s="389">
        <f t="shared" si="159"/>
        <v>30.594881519794207</v>
      </c>
      <c r="BB47" s="389">
        <f t="shared" si="159"/>
        <v>30.684588277931667</v>
      </c>
      <c r="BC47" s="389">
        <f t="shared" si="159"/>
        <v>30.774739549493106</v>
      </c>
      <c r="BD47" s="389">
        <f t="shared" si="159"/>
        <v>30.865337514748731</v>
      </c>
      <c r="BE47" s="389">
        <f t="shared" si="159"/>
        <v>30.956384364415051</v>
      </c>
      <c r="BF47" s="389">
        <f t="shared" si="159"/>
        <v>31.047882299702025</v>
      </c>
      <c r="BG47" s="389">
        <f t="shared" si="159"/>
        <v>31.139833532360448</v>
      </c>
      <c r="BH47" s="389">
        <f t="shared" si="159"/>
        <v>31.232240284729478</v>
      </c>
      <c r="BI47" s="389">
        <f t="shared" si="159"/>
        <v>31.325104789784362</v>
      </c>
      <c r="BJ47" s="389">
        <f t="shared" si="159"/>
        <v>31.418429291184292</v>
      </c>
      <c r="BK47" s="389">
        <f t="shared" si="159"/>
        <v>31.512216043320528</v>
      </c>
      <c r="BL47" s="389">
        <f t="shared" si="159"/>
        <v>31.606467311364604</v>
      </c>
      <c r="BM47" s="389">
        <f t="shared" si="159"/>
        <v>31.701185371316775</v>
      </c>
      <c r="BN47" s="389">
        <f t="shared" si="159"/>
        <v>31.79637251005461</v>
      </c>
      <c r="BO47" s="389">
        <f t="shared" ref="BO47:DR47" si="160">BO45+BO46</f>
        <v>31.892031025381797</v>
      </c>
      <c r="BP47" s="389">
        <f t="shared" si="160"/>
        <v>31.988163226077067</v>
      </c>
      <c r="BQ47" s="389">
        <f t="shared" si="160"/>
        <v>32.084771431943388</v>
      </c>
      <c r="BR47" s="389">
        <f t="shared" si="160"/>
        <v>32.181857973857234</v>
      </c>
      <c r="BS47" s="389">
        <f t="shared" si="160"/>
        <v>32.279425193818135</v>
      </c>
      <c r="BT47" s="389">
        <f t="shared" si="160"/>
        <v>32.377475444998296</v>
      </c>
      <c r="BU47" s="389">
        <f t="shared" si="160"/>
        <v>32.476011091792515</v>
      </c>
      <c r="BV47" s="389">
        <f t="shared" si="160"/>
        <v>32.575034509868175</v>
      </c>
      <c r="BW47" s="389">
        <f t="shared" si="160"/>
        <v>32.674548086215488</v>
      </c>
      <c r="BX47" s="389">
        <f t="shared" si="160"/>
        <v>32.77455421919786</v>
      </c>
      <c r="BY47" s="389">
        <f t="shared" si="160"/>
        <v>32.87505531860252</v>
      </c>
      <c r="BZ47" s="389">
        <f t="shared" si="160"/>
        <v>32.976053805691208</v>
      </c>
      <c r="CA47" s="389">
        <f t="shared" si="160"/>
        <v>33.077552113251151</v>
      </c>
      <c r="CB47" s="389">
        <f t="shared" si="160"/>
        <v>33.179552685646158</v>
      </c>
      <c r="CC47" s="389">
        <f t="shared" si="160"/>
        <v>33.282057978867911</v>
      </c>
      <c r="CD47" s="389">
        <f t="shared" si="160"/>
        <v>33.385070460587457</v>
      </c>
      <c r="CE47" s="389">
        <f t="shared" si="160"/>
        <v>33.488592610206815</v>
      </c>
      <c r="CF47" s="389">
        <f t="shared" si="160"/>
        <v>33.592626918910852</v>
      </c>
      <c r="CG47" s="389">
        <f t="shared" si="160"/>
        <v>33.697175889719261</v>
      </c>
      <c r="CH47" s="389">
        <f t="shared" si="160"/>
        <v>33.80224203753874</v>
      </c>
      <c r="CI47" s="389">
        <f t="shared" si="160"/>
        <v>33.907827889215369</v>
      </c>
      <c r="CJ47" s="389">
        <f t="shared" si="160"/>
        <v>34.013935983587182</v>
      </c>
      <c r="CK47" s="389">
        <f t="shared" si="160"/>
        <v>34.120568871536832</v>
      </c>
      <c r="CL47" s="389">
        <f t="shared" si="160"/>
        <v>34.227729116044515</v>
      </c>
      <c r="CM47" s="389">
        <f t="shared" si="160"/>
        <v>34.335419292241077</v>
      </c>
      <c r="CN47" s="389">
        <f t="shared" si="160"/>
        <v>34.443641987461206</v>
      </c>
      <c r="CO47" s="389">
        <f t="shared" si="160"/>
        <v>34.552399801296929</v>
      </c>
      <c r="CP47" s="389">
        <f t="shared" si="160"/>
        <v>34.661695345651182</v>
      </c>
      <c r="CQ47" s="389">
        <f t="shared" si="160"/>
        <v>34.771531244791618</v>
      </c>
      <c r="CR47" s="389">
        <f t="shared" si="160"/>
        <v>34.881910135404546</v>
      </c>
      <c r="CS47" s="389">
        <f t="shared" si="160"/>
        <v>34.992834666649102</v>
      </c>
      <c r="CT47" s="389">
        <f t="shared" si="160"/>
        <v>35.104307500211554</v>
      </c>
      <c r="CU47" s="389">
        <f t="shared" si="160"/>
        <v>35.216331310359777</v>
      </c>
      <c r="CV47" s="389">
        <f t="shared" si="160"/>
        <v>35.328908783997953</v>
      </c>
      <c r="CW47" s="389">
        <f t="shared" si="160"/>
        <v>35.442042620721409</v>
      </c>
      <c r="CX47" s="389">
        <f t="shared" si="160"/>
        <v>35.555735532871594</v>
      </c>
      <c r="CY47" s="389">
        <f t="shared" si="160"/>
        <v>35.669990245591343</v>
      </c>
      <c r="CZ47" s="389">
        <f t="shared" si="160"/>
        <v>35.784809496880186</v>
      </c>
      <c r="DA47" s="389">
        <f t="shared" si="160"/>
        <v>35.900196037649927</v>
      </c>
      <c r="DB47" s="389">
        <f t="shared" si="160"/>
        <v>36.016152631780329</v>
      </c>
      <c r="DC47" s="389">
        <f t="shared" si="160"/>
        <v>36.132682056175028</v>
      </c>
      <c r="DD47" s="389">
        <f t="shared" si="160"/>
        <v>36.249787100817578</v>
      </c>
      <c r="DE47" s="389">
        <f t="shared" si="160"/>
        <v>36.367470568827706</v>
      </c>
      <c r="DF47" s="389">
        <f t="shared" si="160"/>
        <v>36.485735276517673</v>
      </c>
      <c r="DG47" s="389">
        <f t="shared" si="160"/>
        <v>36.604584053448875</v>
      </c>
      <c r="DH47" s="389">
        <f t="shared" si="160"/>
        <v>36.724019742488622</v>
      </c>
      <c r="DI47" s="389">
        <f t="shared" si="160"/>
        <v>36.844045199866983</v>
      </c>
      <c r="DJ47" s="389">
        <f t="shared" si="160"/>
        <v>36.964663295233919</v>
      </c>
      <c r="DK47" s="389">
        <f t="shared" si="160"/>
        <v>37.085876911716518</v>
      </c>
      <c r="DL47" s="389">
        <f t="shared" si="160"/>
        <v>37.207688945976429</v>
      </c>
      <c r="DM47" s="389">
        <f t="shared" si="160"/>
        <v>37.330102308267428</v>
      </c>
      <c r="DN47" s="389">
        <f t="shared" si="160"/>
        <v>37.453119922493187</v>
      </c>
      <c r="DO47" s="389">
        <f t="shared" si="160"/>
        <v>37.576744726265204</v>
      </c>
      <c r="DP47" s="389">
        <f t="shared" si="160"/>
        <v>37.700979670960862</v>
      </c>
      <c r="DQ47" s="389">
        <f t="shared" si="160"/>
        <v>37.825827721781693</v>
      </c>
      <c r="DR47" s="389">
        <f t="shared" si="160"/>
        <v>37.951291857811789</v>
      </c>
    </row>
    <row r="48" spans="2:122" x14ac:dyDescent="0.3">
      <c r="B48" s="382" t="s">
        <v>187</v>
      </c>
      <c r="C48" s="388">
        <f>IF(C43=F41,C41-C45,0)</f>
        <v>2484.7448745145875</v>
      </c>
      <c r="D48" s="388">
        <f>IF(D43=$F$41,$C$41-D45,C48-D45)</f>
        <v>2469.413473401748</v>
      </c>
      <c r="E48" s="388">
        <f t="shared" ref="E48:BP48" si="161">IF(E43=$F$41,$C$41-E45,D48-E45)</f>
        <v>2454.0054152833445</v>
      </c>
      <c r="F48" s="388">
        <f t="shared" si="161"/>
        <v>2438.5203168743487</v>
      </c>
      <c r="G48" s="388">
        <f t="shared" si="161"/>
        <v>2422.9577929733082</v>
      </c>
      <c r="H48" s="388">
        <f t="shared" si="161"/>
        <v>2407.3174564527621</v>
      </c>
      <c r="I48" s="388">
        <f t="shared" si="161"/>
        <v>2391.5989182496137</v>
      </c>
      <c r="J48" s="388">
        <f t="shared" si="161"/>
        <v>2375.8017873554495</v>
      </c>
      <c r="K48" s="388">
        <f t="shared" si="161"/>
        <v>2359.9256708068142</v>
      </c>
      <c r="L48" s="388">
        <f t="shared" si="161"/>
        <v>2343.9701736754359</v>
      </c>
      <c r="M48" s="388">
        <f t="shared" si="161"/>
        <v>2327.9348990584008</v>
      </c>
      <c r="N48" s="388">
        <f t="shared" si="161"/>
        <v>2311.8194480682805</v>
      </c>
      <c r="O48" s="388">
        <f t="shared" si="161"/>
        <v>2295.6234198232096</v>
      </c>
      <c r="P48" s="388">
        <f t="shared" si="161"/>
        <v>2279.3464114369131</v>
      </c>
      <c r="Q48" s="388">
        <f t="shared" si="161"/>
        <v>2262.9880180086852</v>
      </c>
      <c r="R48" s="388">
        <f t="shared" si="161"/>
        <v>2246.5478326133161</v>
      </c>
      <c r="S48" s="388">
        <f t="shared" si="161"/>
        <v>2230.0254462909702</v>
      </c>
      <c r="T48" s="388">
        <f t="shared" si="161"/>
        <v>2213.4204480370126</v>
      </c>
      <c r="U48" s="388">
        <f t="shared" si="161"/>
        <v>2196.7324247917854</v>
      </c>
      <c r="V48" s="388">
        <f t="shared" si="161"/>
        <v>2179.9609614303322</v>
      </c>
      <c r="W48" s="388">
        <f t="shared" si="161"/>
        <v>2163.1056407520714</v>
      </c>
      <c r="X48" s="388">
        <f t="shared" si="161"/>
        <v>2146.1660434704195</v>
      </c>
      <c r="Y48" s="388">
        <f t="shared" si="161"/>
        <v>2129.1417482023594</v>
      </c>
      <c r="Z48" s="388">
        <f t="shared" si="161"/>
        <v>2112.0323314579587</v>
      </c>
      <c r="AA48" s="388">
        <f t="shared" si="161"/>
        <v>2094.8373676298361</v>
      </c>
      <c r="AB48" s="388">
        <f t="shared" si="161"/>
        <v>2077.5564289825729</v>
      </c>
      <c r="AC48" s="388">
        <f t="shared" si="161"/>
        <v>2060.1890856420732</v>
      </c>
      <c r="AD48" s="388">
        <f t="shared" si="161"/>
        <v>2042.7349055848713</v>
      </c>
      <c r="AE48" s="388">
        <f t="shared" si="161"/>
        <v>2025.1934546273833</v>
      </c>
      <c r="AF48" s="388">
        <f t="shared" si="161"/>
        <v>2007.5642964151079</v>
      </c>
      <c r="AG48" s="388">
        <f t="shared" si="161"/>
        <v>1989.8469924117712</v>
      </c>
      <c r="AH48" s="388">
        <f t="shared" si="161"/>
        <v>1972.0411018884176</v>
      </c>
      <c r="AI48" s="388">
        <f t="shared" si="161"/>
        <v>1954.1461819124474</v>
      </c>
      <c r="AJ48" s="388">
        <f t="shared" si="161"/>
        <v>1936.1617873365974</v>
      </c>
      <c r="AK48" s="388">
        <f t="shared" si="161"/>
        <v>1918.0874707878679</v>
      </c>
      <c r="AL48" s="388">
        <f t="shared" si="161"/>
        <v>1899.9227826563949</v>
      </c>
      <c r="AM48" s="388">
        <f t="shared" si="161"/>
        <v>1881.6672710842645</v>
      </c>
      <c r="AN48" s="388">
        <f t="shared" si="161"/>
        <v>1863.3204819542734</v>
      </c>
      <c r="AO48" s="388">
        <f t="shared" si="161"/>
        <v>1844.8819588786325</v>
      </c>
      <c r="AP48" s="388">
        <f t="shared" si="161"/>
        <v>1826.3512431876134</v>
      </c>
      <c r="AQ48" s="388">
        <f t="shared" si="161"/>
        <v>1807.727873918139</v>
      </c>
      <c r="AR48" s="388">
        <f t="shared" si="161"/>
        <v>1789.0113878023174</v>
      </c>
      <c r="AS48" s="388">
        <f t="shared" si="161"/>
        <v>1770.2013192559166</v>
      </c>
      <c r="AT48" s="388">
        <f t="shared" si="161"/>
        <v>1751.2972003667837</v>
      </c>
      <c r="AU48" s="388">
        <f t="shared" si="161"/>
        <v>1732.2985608832053</v>
      </c>
      <c r="AV48" s="388">
        <f t="shared" si="161"/>
        <v>1713.204928202209</v>
      </c>
      <c r="AW48" s="388">
        <f t="shared" si="161"/>
        <v>1694.0158273578077</v>
      </c>
      <c r="AX48" s="388">
        <f t="shared" si="161"/>
        <v>1674.7307810091843</v>
      </c>
      <c r="AY48" s="388">
        <f t="shared" si="161"/>
        <v>1655.3493094288178</v>
      </c>
      <c r="AZ48" s="388">
        <f t="shared" si="161"/>
        <v>1635.8709304905497</v>
      </c>
      <c r="BA48" s="388">
        <f t="shared" si="161"/>
        <v>1616.2951596575901</v>
      </c>
      <c r="BB48" s="388">
        <f t="shared" si="161"/>
        <v>1596.6215099704657</v>
      </c>
      <c r="BC48" s="388">
        <f t="shared" si="161"/>
        <v>1576.8494920349056</v>
      </c>
      <c r="BD48" s="388">
        <f t="shared" si="161"/>
        <v>1556.9786140096678</v>
      </c>
      <c r="BE48" s="388">
        <f t="shared" si="161"/>
        <v>1537.0083815943037</v>
      </c>
      <c r="BF48" s="388">
        <f t="shared" si="161"/>
        <v>1516.938298016863</v>
      </c>
      <c r="BG48" s="388">
        <f t="shared" si="161"/>
        <v>1496.7678640215349</v>
      </c>
      <c r="BH48" s="388">
        <f t="shared" si="161"/>
        <v>1476.4965778562303</v>
      </c>
      <c r="BI48" s="388">
        <f t="shared" si="161"/>
        <v>1456.123935260099</v>
      </c>
      <c r="BJ48" s="388">
        <f t="shared" si="161"/>
        <v>1435.6494294509871</v>
      </c>
      <c r="BK48" s="388">
        <f t="shared" si="161"/>
        <v>1415.0725511128296</v>
      </c>
      <c r="BL48" s="388">
        <f t="shared" si="161"/>
        <v>1394.3927883829815</v>
      </c>
      <c r="BM48" s="388">
        <f t="shared" si="161"/>
        <v>1373.609626839484</v>
      </c>
      <c r="BN48" s="388">
        <f t="shared" si="161"/>
        <v>1352.7225494882691</v>
      </c>
      <c r="BO48" s="388">
        <f t="shared" si="161"/>
        <v>1331.731036750298</v>
      </c>
      <c r="BP48" s="388">
        <f t="shared" si="161"/>
        <v>1310.6345664486371</v>
      </c>
      <c r="BQ48" s="388">
        <f t="shared" ref="BQ48:DR48" si="162">IF(BQ43=$F$41,$C$41-BQ45,BP48-BQ45)</f>
        <v>1289.4326137954679</v>
      </c>
      <c r="BR48" s="388">
        <f t="shared" si="162"/>
        <v>1268.1246513790329</v>
      </c>
      <c r="BS48" s="388">
        <f t="shared" si="162"/>
        <v>1246.7101491505157</v>
      </c>
      <c r="BT48" s="388">
        <f t="shared" si="162"/>
        <v>1225.1885744108558</v>
      </c>
      <c r="BU48" s="388">
        <f t="shared" si="162"/>
        <v>1203.5593917974977</v>
      </c>
      <c r="BV48" s="388">
        <f t="shared" si="162"/>
        <v>1181.8220632710729</v>
      </c>
      <c r="BW48" s="388">
        <f t="shared" si="162"/>
        <v>1159.976048102016</v>
      </c>
      <c r="BX48" s="388">
        <f t="shared" si="162"/>
        <v>1138.0208028571137</v>
      </c>
      <c r="BY48" s="388">
        <f t="shared" si="162"/>
        <v>1115.9557813859869</v>
      </c>
      <c r="BZ48" s="388">
        <f t="shared" si="162"/>
        <v>1093.7804348075044</v>
      </c>
      <c r="CA48" s="388">
        <f t="shared" si="162"/>
        <v>1071.4942114961295</v>
      </c>
      <c r="CB48" s="388">
        <f t="shared" si="162"/>
        <v>1049.0965570681979</v>
      </c>
      <c r="CC48" s="388">
        <f t="shared" si="162"/>
        <v>1026.5869143681266</v>
      </c>
      <c r="CD48" s="388">
        <f t="shared" si="162"/>
        <v>1003.9647234545549</v>
      </c>
      <c r="CE48" s="388">
        <f t="shared" si="162"/>
        <v>981.22942158641536</v>
      </c>
      <c r="CF48" s="388">
        <f t="shared" si="162"/>
        <v>958.38044320893505</v>
      </c>
      <c r="CG48" s="388">
        <f t="shared" si="162"/>
        <v>935.41721993956742</v>
      </c>
      <c r="CH48" s="388">
        <f t="shared" si="162"/>
        <v>912.33918055385288</v>
      </c>
      <c r="CI48" s="388">
        <f t="shared" si="162"/>
        <v>889.14575097120974</v>
      </c>
      <c r="CJ48" s="388">
        <f t="shared" si="162"/>
        <v>865.83635424065346</v>
      </c>
      <c r="CK48" s="388">
        <f t="shared" si="162"/>
        <v>842.41041052644437</v>
      </c>
      <c r="CL48" s="388">
        <f t="shared" si="162"/>
        <v>818.86733709366422</v>
      </c>
      <c r="CM48" s="388">
        <f t="shared" si="162"/>
        <v>795.20654829372018</v>
      </c>
      <c r="CN48" s="388">
        <f t="shared" si="162"/>
        <v>771.42745554977637</v>
      </c>
      <c r="CO48" s="388">
        <f t="shared" si="162"/>
        <v>747.52946734211287</v>
      </c>
      <c r="CP48" s="388">
        <f t="shared" si="162"/>
        <v>723.51198919341107</v>
      </c>
      <c r="CQ48" s="388">
        <f t="shared" si="162"/>
        <v>699.37442365396578</v>
      </c>
      <c r="CR48" s="388">
        <f t="shared" si="162"/>
        <v>675.11617028682326</v>
      </c>
      <c r="CS48" s="388">
        <f t="shared" si="162"/>
        <v>650.73662565284508</v>
      </c>
      <c r="CT48" s="388">
        <f t="shared" si="162"/>
        <v>626.23518329569697</v>
      </c>
      <c r="CU48" s="388">
        <f t="shared" si="162"/>
        <v>601.61123372676309</v>
      </c>
      <c r="CV48" s="388">
        <f t="shared" si="162"/>
        <v>576.8641644099846</v>
      </c>
      <c r="CW48" s="388">
        <f t="shared" si="162"/>
        <v>551.9933597466221</v>
      </c>
      <c r="CX48" s="388">
        <f t="shared" si="162"/>
        <v>526.99820105994286</v>
      </c>
      <c r="CY48" s="388">
        <f t="shared" si="162"/>
        <v>501.8780665798302</v>
      </c>
      <c r="CZ48" s="388">
        <f t="shared" si="162"/>
        <v>476.63233142731701</v>
      </c>
      <c r="DA48" s="388">
        <f t="shared" si="162"/>
        <v>451.26036759904122</v>
      </c>
      <c r="DB48" s="388">
        <f t="shared" si="162"/>
        <v>425.76154395162405</v>
      </c>
      <c r="DC48" s="388">
        <f t="shared" si="162"/>
        <v>400.13522618596983</v>
      </c>
      <c r="DD48" s="388">
        <f t="shared" si="162"/>
        <v>374.38077683148731</v>
      </c>
      <c r="DE48" s="388">
        <f t="shared" si="162"/>
        <v>348.49755523023236</v>
      </c>
      <c r="DF48" s="388">
        <f t="shared" si="162"/>
        <v>322.48491752097118</v>
      </c>
      <c r="DG48" s="388">
        <f t="shared" si="162"/>
        <v>296.34221662316367</v>
      </c>
      <c r="DH48" s="388">
        <f t="shared" si="162"/>
        <v>270.06880222086716</v>
      </c>
      <c r="DI48" s="388">
        <f t="shared" si="162"/>
        <v>243.66402074655912</v>
      </c>
      <c r="DJ48" s="388">
        <f t="shared" si="162"/>
        <v>217.12721536487956</v>
      </c>
      <c r="DK48" s="388">
        <f t="shared" si="162"/>
        <v>190.4577259562916</v>
      </c>
      <c r="DL48" s="388">
        <f t="shared" si="162"/>
        <v>163.65488910066068</v>
      </c>
      <c r="DM48" s="388">
        <f t="shared" si="162"/>
        <v>136.71803806075161</v>
      </c>
      <c r="DN48" s="388">
        <f t="shared" si="162"/>
        <v>109.64650276564301</v>
      </c>
      <c r="DO48" s="388">
        <f t="shared" si="162"/>
        <v>82.439609794058867</v>
      </c>
      <c r="DP48" s="388">
        <f t="shared" si="162"/>
        <v>55.0966823576168</v>
      </c>
      <c r="DQ48" s="388">
        <f t="shared" si="162"/>
        <v>27.617040283992523</v>
      </c>
      <c r="DR48" s="388">
        <f t="shared" si="162"/>
        <v>1.2789769243681803E-13</v>
      </c>
    </row>
    <row r="49" spans="2:122" x14ac:dyDescent="0.3">
      <c r="B49" s="382" t="s">
        <v>437</v>
      </c>
      <c r="C49" s="388">
        <f>IF(C48=0,0,SUM(D45:O45))</f>
        <v>189.12145469137786</v>
      </c>
      <c r="D49" s="388">
        <f>IF(D48=0,0,SUM(E45:P45))</f>
        <v>190.06706196483472</v>
      </c>
      <c r="E49" s="388">
        <f t="shared" ref="E49" si="163">IF(E48=0,0,SUM(F45:Q45))</f>
        <v>191.01739727465892</v>
      </c>
      <c r="F49" s="388">
        <f t="shared" ref="F49" si="164">IF(F48=0,0,SUM(G45:R45))</f>
        <v>191.97248426103221</v>
      </c>
      <c r="G49" s="388">
        <f t="shared" ref="G49" si="165">IF(G48=0,0,SUM(H45:S45))</f>
        <v>192.93234668233737</v>
      </c>
      <c r="H49" s="388">
        <f t="shared" ref="H49" si="166">IF(H48=0,0,SUM(I45:T45))</f>
        <v>193.89700841574904</v>
      </c>
      <c r="I49" s="388">
        <f t="shared" ref="I49" si="167">IF(I48=0,0,SUM(J45:U45))</f>
        <v>194.8664934578278</v>
      </c>
      <c r="J49" s="388">
        <f t="shared" ref="J49" si="168">IF(J48=0,0,SUM(K45:V45))</f>
        <v>195.84082592511695</v>
      </c>
      <c r="K49" s="388">
        <f>IF(K48=0,0,SUM(L45:W45))</f>
        <v>196.82003005474252</v>
      </c>
      <c r="L49" s="388">
        <f t="shared" ref="L49" si="169">IF(L48=0,0,SUM(M45:X45))</f>
        <v>197.80413020501626</v>
      </c>
      <c r="M49" s="388">
        <f t="shared" ref="M49" si="170">IF(M48=0,0,SUM(N45:Y45))</f>
        <v>198.79315085604131</v>
      </c>
      <c r="N49" s="388">
        <f t="shared" ref="N49" si="171">IF(N48=0,0,SUM(O45:Z45))</f>
        <v>199.78711661032153</v>
      </c>
      <c r="O49" s="388">
        <f t="shared" ref="O49" si="172">IF(O48=0,0,SUM(P45:AA45))</f>
        <v>200.78605219337311</v>
      </c>
      <c r="P49" s="388">
        <f t="shared" ref="P49" si="173">IF(P48=0,0,SUM(Q45:AB45))</f>
        <v>201.78998245433999</v>
      </c>
      <c r="Q49" s="388">
        <f t="shared" ref="Q49" si="174">IF(Q48=0,0,SUM(R45:AC45))</f>
        <v>202.79893236661172</v>
      </c>
      <c r="R49" s="388">
        <f t="shared" ref="R49" si="175">IF(R48=0,0,SUM(S45:AD45))</f>
        <v>203.81292702844479</v>
      </c>
      <c r="S49" s="388">
        <f t="shared" ref="S49" si="176">IF(S48=0,0,SUM(T45:AE45))</f>
        <v>204.83199166358699</v>
      </c>
      <c r="T49" s="388">
        <f t="shared" ref="T49" si="177">IF(T48=0,0,SUM(U45:AF45))</f>
        <v>205.85615162190493</v>
      </c>
      <c r="U49" s="388">
        <f t="shared" ref="U49" si="178">IF(U48=0,0,SUM(V45:AG45))</f>
        <v>206.88543238001441</v>
      </c>
      <c r="V49" s="388">
        <f t="shared" ref="V49" si="179">IF(V48=0,0,SUM(W45:AH45))</f>
        <v>207.91985954191449</v>
      </c>
      <c r="W49" s="388">
        <f t="shared" ref="W49" si="180">IF(W48=0,0,SUM(X45:AI45))</f>
        <v>208.95945883962409</v>
      </c>
      <c r="X49" s="388">
        <f t="shared" ref="X49" si="181">IF(X48=0,0,SUM(Y45:AJ45))</f>
        <v>210.0042561338222</v>
      </c>
      <c r="Y49" s="388">
        <f t="shared" ref="Y49" si="182">IF(Y48=0,0,SUM(Z45:AK45))</f>
        <v>211.05427741449134</v>
      </c>
      <c r="Z49" s="388">
        <f t="shared" ref="Z49" si="183">IF(Z48=0,0,SUM(AA45:AL45))</f>
        <v>212.10954880156379</v>
      </c>
      <c r="AA49" s="388">
        <f t="shared" ref="AA49" si="184">IF(AA48=0,0,SUM(AB45:AM45))</f>
        <v>213.17009654557162</v>
      </c>
      <c r="AB49" s="388">
        <f t="shared" ref="AB49" si="185">IF(AB48=0,0,SUM(AC45:AN45))</f>
        <v>214.23594702829945</v>
      </c>
      <c r="AC49" s="388">
        <f t="shared" ref="AC49" si="186">IF(AC48=0,0,SUM(AD45:AO45))</f>
        <v>215.30712676344095</v>
      </c>
      <c r="AD49" s="388">
        <f t="shared" ref="AD49" si="187">IF(AD48=0,0,SUM(AE45:AP45))</f>
        <v>216.38366239725815</v>
      </c>
      <c r="AE49" s="388">
        <f t="shared" ref="AE49" si="188">IF(AE48=0,0,SUM(AF45:AQ45))</f>
        <v>217.46558070924445</v>
      </c>
      <c r="AF49" s="388">
        <f t="shared" ref="AF49" si="189">IF(AF48=0,0,SUM(AG45:AR45))</f>
        <v>218.5529086127907</v>
      </c>
      <c r="AG49" s="388">
        <f t="shared" ref="AG49" si="190">IF(AG48=0,0,SUM(AH45:AS45))</f>
        <v>219.64567315585464</v>
      </c>
      <c r="AH49" s="388">
        <f t="shared" ref="AH49" si="191">IF(AH48=0,0,SUM(AI45:AT45))</f>
        <v>220.74390152163389</v>
      </c>
      <c r="AI49" s="388">
        <f t="shared" ref="AI49" si="192">IF(AI48=0,0,SUM(AJ45:AU45))</f>
        <v>221.84762102924208</v>
      </c>
      <c r="AJ49" s="388">
        <f t="shared" ref="AJ49" si="193">IF(AJ48=0,0,SUM(AK45:AV45))</f>
        <v>222.95685913438831</v>
      </c>
      <c r="AK49" s="388">
        <f t="shared" ref="AK49" si="194">IF(AK48=0,0,SUM(AL45:AW45))</f>
        <v>224.07164343006022</v>
      </c>
      <c r="AL49" s="388">
        <f t="shared" ref="AL49" si="195">IF(AL48=0,0,SUM(AM45:AX45))</f>
        <v>225.19200164721053</v>
      </c>
      <c r="AM49" s="388">
        <f t="shared" ref="AM49" si="196">IF(AM48=0,0,SUM(AN45:AY45))</f>
        <v>226.3179616554466</v>
      </c>
      <c r="AN49" s="388">
        <f t="shared" ref="AN49" si="197">IF(AN48=0,0,SUM(AO45:AZ45))</f>
        <v>227.44955146372379</v>
      </c>
      <c r="AO49" s="388">
        <f t="shared" ref="AO49" si="198">IF(AO48=0,0,SUM(AP45:BA45))</f>
        <v>228.58679922104241</v>
      </c>
      <c r="AP49" s="388">
        <f t="shared" ref="AP49" si="199">IF(AP48=0,0,SUM(AQ45:BB45))</f>
        <v>229.72973321714767</v>
      </c>
      <c r="AQ49" s="388">
        <f t="shared" ref="AQ49" si="200">IF(AQ48=0,0,SUM(AR45:BC45))</f>
        <v>230.87838188323337</v>
      </c>
      <c r="AR49" s="388">
        <f t="shared" ref="AR49" si="201">IF(AR48=0,0,SUM(AS45:BD45))</f>
        <v>232.03277379264958</v>
      </c>
      <c r="AS49" s="388">
        <f t="shared" ref="AS49" si="202">IF(AS48=0,0,SUM(AT45:BE45))</f>
        <v>233.19293766161283</v>
      </c>
      <c r="AT49" s="388">
        <f t="shared" ref="AT49" si="203">IF(AT48=0,0,SUM(AU45:BF45))</f>
        <v>234.35890234992087</v>
      </c>
      <c r="AU49" s="388">
        <f t="shared" ref="AU49" si="204">IF(AU48=0,0,SUM(AV45:BG45))</f>
        <v>235.53069686167049</v>
      </c>
      <c r="AV49" s="388">
        <f t="shared" ref="AV49" si="205">IF(AV48=0,0,SUM(AW45:BH45))</f>
        <v>236.70835034597883</v>
      </c>
      <c r="AW49" s="388">
        <f t="shared" ref="AW49" si="206">IF(AW48=0,0,SUM(AX45:BI45))</f>
        <v>237.89189209770871</v>
      </c>
      <c r="AX49" s="388">
        <f t="shared" ref="AX49" si="207">IF(AX48=0,0,SUM(AY45:BJ45))</f>
        <v>239.08135155819724</v>
      </c>
      <c r="AY49" s="388">
        <f t="shared" ref="AY49" si="208">IF(AY48=0,0,SUM(AZ45:BK45))</f>
        <v>240.27675831598825</v>
      </c>
      <c r="AZ49" s="388">
        <f t="shared" ref="AZ49" si="209">IF(AZ48=0,0,SUM(BA45:BL45))</f>
        <v>241.4781421075682</v>
      </c>
      <c r="BA49" s="388">
        <f t="shared" ref="BA49" si="210">IF(BA48=0,0,SUM(BB45:BM45))</f>
        <v>242.68553281810603</v>
      </c>
      <c r="BB49" s="388">
        <f t="shared" ref="BB49" si="211">IF(BB48=0,0,SUM(BC45:BN45))</f>
        <v>243.89896048219651</v>
      </c>
      <c r="BC49" s="388">
        <f t="shared" ref="BC49" si="212">IF(BC48=0,0,SUM(BD45:BO45))</f>
        <v>245.11845528460756</v>
      </c>
      <c r="BD49" s="388">
        <f t="shared" ref="BD49" si="213">IF(BD48=0,0,SUM(BE45:BP45))</f>
        <v>246.34404756103058</v>
      </c>
      <c r="BE49" s="388">
        <f t="shared" ref="BE49" si="214">IF(BE48=0,0,SUM(BF45:BQ45))</f>
        <v>247.57576779883573</v>
      </c>
      <c r="BF49" s="388">
        <f t="shared" ref="BF49" si="215">IF(BF48=0,0,SUM(BG45:BR45))</f>
        <v>248.81364663782989</v>
      </c>
      <c r="BG49" s="388">
        <f t="shared" ref="BG49" si="216">IF(BG48=0,0,SUM(BH45:BS45))</f>
        <v>250.05771487101904</v>
      </c>
      <c r="BH49" s="388">
        <f t="shared" ref="BH49" si="217">IF(BH48=0,0,SUM(BI45:BT45))</f>
        <v>251.30800344537414</v>
      </c>
      <c r="BI49" s="388">
        <f t="shared" ref="BI49" si="218">IF(BI48=0,0,SUM(BJ45:BU45))</f>
        <v>252.56454346260102</v>
      </c>
      <c r="BJ49" s="388">
        <f t="shared" ref="BJ49" si="219">IF(BJ48=0,0,SUM(BK45:BV45))</f>
        <v>253.82736617991404</v>
      </c>
      <c r="BK49" s="388">
        <f t="shared" ref="BK49" si="220">IF(BK48=0,0,SUM(BL45:BW45))</f>
        <v>255.09650301081359</v>
      </c>
      <c r="BL49" s="388">
        <f t="shared" ref="BL49" si="221">IF(BL48=0,0,SUM(BM45:BX45))</f>
        <v>256.37198552586767</v>
      </c>
      <c r="BM49" s="388">
        <f t="shared" ref="BM49" si="222">IF(BM48=0,0,SUM(BN45:BY45))</f>
        <v>257.65384545349701</v>
      </c>
      <c r="BN49" s="388">
        <f t="shared" ref="BN49" si="223">IF(BN48=0,0,SUM(BO45:BZ45))</f>
        <v>258.94211468076446</v>
      </c>
      <c r="BO49" s="388">
        <f t="shared" ref="BO49" si="224">IF(BO48=0,0,SUM(BP45:CA45))</f>
        <v>260.23682525416831</v>
      </c>
      <c r="BP49" s="388">
        <f t="shared" ref="BP49" si="225">IF(BP48=0,0,SUM(BQ45:CB45))</f>
        <v>261.53800938043912</v>
      </c>
      <c r="BQ49" s="388">
        <f t="shared" ref="BQ49" si="226">IF(BQ48=0,0,SUM(BR45:CC45))</f>
        <v>262.84569942734129</v>
      </c>
      <c r="BR49" s="388">
        <f t="shared" ref="BR49" si="227">IF(BR48=0,0,SUM(BS45:CD45))</f>
        <v>264.15992792447804</v>
      </c>
      <c r="BS49" s="388">
        <f t="shared" ref="BS49" si="228">IF(BS48=0,0,SUM(BT45:CE45))</f>
        <v>265.48072756410045</v>
      </c>
      <c r="BT49" s="388">
        <f t="shared" ref="BT49" si="229">IF(BT48=0,0,SUM(BU45:CF45))</f>
        <v>266.8081312019209</v>
      </c>
      <c r="BU49" s="388">
        <f t="shared" ref="BU49" si="230">IF(BU48=0,0,SUM(BV45:CG45))</f>
        <v>268.14217185793052</v>
      </c>
      <c r="BV49" s="388">
        <f t="shared" ref="BV49" si="231">IF(BV48=0,0,SUM(BW45:CH45))</f>
        <v>269.48288271722021</v>
      </c>
      <c r="BW49" s="388">
        <f t="shared" ref="BW49" si="232">IF(BW48=0,0,SUM(BX45:CI45))</f>
        <v>270.83029713080629</v>
      </c>
      <c r="BX49" s="388">
        <f t="shared" ref="BX49" si="233">IF(BX48=0,0,SUM(BY45:CJ45))</f>
        <v>272.18444861646032</v>
      </c>
      <c r="BY49" s="388">
        <f t="shared" ref="BY49" si="234">IF(BY48=0,0,SUM(BZ45:CK45))</f>
        <v>273.54537085954263</v>
      </c>
      <c r="BZ49" s="388">
        <f t="shared" ref="BZ49" si="235">IF(BZ48=0,0,SUM(CA45:CL45))</f>
        <v>274.91309771384033</v>
      </c>
      <c r="CA49" s="388">
        <f t="shared" ref="CA49" si="236">IF(CA48=0,0,SUM(CB45:CM45))</f>
        <v>276.28766320240953</v>
      </c>
      <c r="CB49" s="388">
        <f t="shared" ref="CB49" si="237">IF(CB48=0,0,SUM(CC45:CN45))</f>
        <v>277.6691015184216</v>
      </c>
      <c r="CC49" s="388">
        <f t="shared" ref="CC49" si="238">IF(CC48=0,0,SUM(CD45:CO45))</f>
        <v>279.05744702601373</v>
      </c>
      <c r="CD49" s="388">
        <f t="shared" ref="CD49" si="239">IF(CD48=0,0,SUM(CE45:CP45))</f>
        <v>280.4527342611438</v>
      </c>
      <c r="CE49" s="388">
        <f t="shared" ref="CE49" si="240">IF(CE48=0,0,SUM(CF45:CQ45))</f>
        <v>281.85499793244946</v>
      </c>
      <c r="CF49" s="388">
        <f t="shared" ref="CF49" si="241">IF(CF48=0,0,SUM(CG45:CR45))</f>
        <v>283.26427292211173</v>
      </c>
      <c r="CG49" s="388">
        <f t="shared" ref="CG49" si="242">IF(CG48=0,0,SUM(CH45:CS45))</f>
        <v>284.68059428672228</v>
      </c>
      <c r="CH49" s="388">
        <f t="shared" ref="CH49" si="243">IF(CH48=0,0,SUM(CI45:CT45))</f>
        <v>286.10399725815591</v>
      </c>
      <c r="CI49" s="388">
        <f t="shared" ref="CI49" si="244">IF(CI48=0,0,SUM(CJ45:CU45))</f>
        <v>287.53451724444665</v>
      </c>
      <c r="CJ49" s="388">
        <f t="shared" ref="CJ49" si="245">IF(CJ48=0,0,SUM(CK45:CV45))</f>
        <v>288.97218983066892</v>
      </c>
      <c r="CK49" s="388">
        <f t="shared" ref="CK49" si="246">IF(CK48=0,0,SUM(CL45:CW45))</f>
        <v>290.41705077982226</v>
      </c>
      <c r="CL49" s="388">
        <f t="shared" ref="CL49" si="247">IF(CL48=0,0,SUM(CM45:CX45))</f>
        <v>291.86913603372142</v>
      </c>
      <c r="CM49" s="388">
        <f t="shared" ref="CM49" si="248">IF(CM48=0,0,SUM(CN45:CY45))</f>
        <v>293.32848171388997</v>
      </c>
      <c r="CN49" s="388">
        <f t="shared" ref="CN49" si="249">IF(CN48=0,0,SUM(CO45:CZ45))</f>
        <v>294.79512412245941</v>
      </c>
      <c r="CO49" s="388">
        <f t="shared" ref="CO49" si="250">IF(CO48=0,0,SUM(CP45:DA45))</f>
        <v>296.26909974307176</v>
      </c>
      <c r="CP49" s="388">
        <f t="shared" ref="CP49" si="251">IF(CP48=0,0,SUM(CQ45:DB45))</f>
        <v>297.75044524178713</v>
      </c>
      <c r="CQ49" s="388">
        <f t="shared" ref="CQ49" si="252">IF(CQ48=0,0,SUM(CR45:DC45))</f>
        <v>299.23919746799601</v>
      </c>
      <c r="CR49" s="388">
        <f t="shared" ref="CR49" si="253">IF(CR48=0,0,SUM(CS45:DD45))</f>
        <v>300.73539345533601</v>
      </c>
      <c r="CS49" s="388">
        <f t="shared" ref="CS49" si="254">IF(CS48=0,0,SUM(CT45:DE45))</f>
        <v>302.23907042261271</v>
      </c>
      <c r="CT49" s="388">
        <f t="shared" ref="CT49" si="255">IF(CT48=0,0,SUM(CU45:DF45))</f>
        <v>303.75026577472573</v>
      </c>
      <c r="CU49" s="388">
        <f t="shared" ref="CU49" si="256">IF(CU48=0,0,SUM(CV45:DG45))</f>
        <v>305.26901710359942</v>
      </c>
      <c r="CV49" s="388">
        <f t="shared" ref="CV49" si="257">IF(CV48=0,0,SUM(CW45:DH45))</f>
        <v>306.79536218911744</v>
      </c>
      <c r="CW49" s="388">
        <f t="shared" ref="CW49" si="258">IF(CW48=0,0,SUM(CX45:DI45))</f>
        <v>308.32933900006299</v>
      </c>
      <c r="CX49" s="388">
        <f t="shared" ref="CX49" si="259">IF(CX48=0,0,SUM(CY45:DJ45))</f>
        <v>309.87098569506333</v>
      </c>
      <c r="CY49" s="388">
        <f t="shared" ref="CY49" si="260">IF(CY48=0,0,SUM(CZ45:DK45))</f>
        <v>311.42034062353861</v>
      </c>
      <c r="CZ49" s="388">
        <f t="shared" ref="CZ49" si="261">IF(CZ48=0,0,SUM(DA45:DL45))</f>
        <v>312.97744232665627</v>
      </c>
      <c r="DA49" s="388">
        <f t="shared" ref="DA49" si="262">IF(DA48=0,0,SUM(DB45:DM45))</f>
        <v>314.54232953828961</v>
      </c>
      <c r="DB49" s="388">
        <f t="shared" ref="DB49" si="263">IF(DB48=0,0,SUM(DC45:DN45))</f>
        <v>316.11504118598106</v>
      </c>
      <c r="DC49" s="388">
        <f t="shared" ref="DC49" si="264">IF(DC48=0,0,SUM(DD45:DO45))</f>
        <v>317.69561639191096</v>
      </c>
      <c r="DD49" s="388">
        <f t="shared" ref="DD49" si="265">IF(DD48=0,0,SUM(DE45:DP45))</f>
        <v>319.28409447387048</v>
      </c>
      <c r="DE49" s="388">
        <f t="shared" ref="DE49" si="266">IF(DE48=0,0,SUM(DF45:DQ45))</f>
        <v>320.88051494623983</v>
      </c>
      <c r="DF49" s="388">
        <f t="shared" ref="DF49" si="267">IF(DF48=0,0,SUM(DG45:DR45))</f>
        <v>322.48491752097107</v>
      </c>
      <c r="DG49" s="388">
        <f t="shared" ref="DG49" si="268">IF(DG48=0,0,SUM(DH45:DS45))</f>
        <v>296.34221662316361</v>
      </c>
      <c r="DH49" s="388">
        <f t="shared" ref="DH49" si="269">IF(DH48=0,0,SUM(DI45:DT45))</f>
        <v>270.06880222086704</v>
      </c>
      <c r="DI49" s="388">
        <f t="shared" ref="DI49" si="270">IF(DI48=0,0,SUM(DJ45:DU45))</f>
        <v>243.66402074655898</v>
      </c>
      <c r="DJ49" s="388">
        <f t="shared" ref="DJ49" si="271">IF(DJ48=0,0,SUM(DK45:DV45))</f>
        <v>217.12721536487939</v>
      </c>
      <c r="DK49" s="388">
        <f t="shared" ref="DK49" si="272">IF(DK48=0,0,SUM(DL45:DW45))</f>
        <v>190.45772595629145</v>
      </c>
      <c r="DL49" s="388">
        <f t="shared" ref="DL49" si="273">IF(DL48=0,0,SUM(DM45:DX45))</f>
        <v>163.65488910066054</v>
      </c>
      <c r="DM49" s="388">
        <f t="shared" ref="DM49" si="274">IF(DM48=0,0,SUM(DN45:DY45))</f>
        <v>136.7180380607515</v>
      </c>
      <c r="DN49" s="388">
        <f t="shared" ref="DN49" si="275">IF(DN48=0,0,SUM(DO45:DZ45))</f>
        <v>109.64650276564288</v>
      </c>
      <c r="DO49" s="388">
        <f t="shared" ref="DO49" si="276">IF(DO48=0,0,SUM(DP45:EA45))</f>
        <v>82.43960979405874</v>
      </c>
      <c r="DP49" s="388">
        <f t="shared" ref="DP49" si="277">IF(DP48=0,0,SUM(DQ45:EB45))</f>
        <v>55.096682357616672</v>
      </c>
      <c r="DQ49" s="388">
        <f t="shared" ref="DQ49" si="278">IF(DQ48=0,0,SUM(DR45:EC45))</f>
        <v>27.617040283992395</v>
      </c>
      <c r="DR49" s="388">
        <f t="shared" ref="DR49" si="279">IF(DR48=0,0,SUM(DS45:ED45))</f>
        <v>0</v>
      </c>
    </row>
    <row r="50" spans="2:122" x14ac:dyDescent="0.3">
      <c r="B50" s="382" t="s">
        <v>438</v>
      </c>
      <c r="C50" s="388">
        <f>IF(C48-C49&lt;0,0,C48-C49)</f>
        <v>2295.6234198232096</v>
      </c>
      <c r="D50" s="388">
        <f t="shared" ref="D50:BO50" si="280">IF(D48-D49&lt;0,0,D48-D49)</f>
        <v>2279.3464114369131</v>
      </c>
      <c r="E50" s="388">
        <f t="shared" si="280"/>
        <v>2262.9880180086857</v>
      </c>
      <c r="F50" s="388">
        <f t="shared" si="280"/>
        <v>2246.5478326133166</v>
      </c>
      <c r="G50" s="388">
        <f t="shared" si="280"/>
        <v>2230.0254462909706</v>
      </c>
      <c r="H50" s="388">
        <f t="shared" si="280"/>
        <v>2213.4204480370131</v>
      </c>
      <c r="I50" s="388">
        <f t="shared" si="280"/>
        <v>2196.7324247917859</v>
      </c>
      <c r="J50" s="388">
        <f t="shared" si="280"/>
        <v>2179.9609614303326</v>
      </c>
      <c r="K50" s="388">
        <f>IF(K48-K49&lt;0,0,K48-K49)</f>
        <v>2163.1056407520718</v>
      </c>
      <c r="L50" s="388">
        <f t="shared" si="280"/>
        <v>2146.1660434704195</v>
      </c>
      <c r="M50" s="388">
        <f t="shared" si="280"/>
        <v>2129.1417482023594</v>
      </c>
      <c r="N50" s="388">
        <f t="shared" si="280"/>
        <v>2112.0323314579591</v>
      </c>
      <c r="O50" s="388">
        <f t="shared" si="280"/>
        <v>2094.8373676298365</v>
      </c>
      <c r="P50" s="388">
        <f t="shared" si="280"/>
        <v>2077.5564289825729</v>
      </c>
      <c r="Q50" s="388">
        <f t="shared" si="280"/>
        <v>2060.1890856420737</v>
      </c>
      <c r="R50" s="388">
        <f t="shared" si="280"/>
        <v>2042.7349055848713</v>
      </c>
      <c r="S50" s="388">
        <f t="shared" si="280"/>
        <v>2025.1934546273833</v>
      </c>
      <c r="T50" s="388">
        <f t="shared" si="280"/>
        <v>2007.5642964151077</v>
      </c>
      <c r="U50" s="388">
        <f t="shared" si="280"/>
        <v>1989.846992411771</v>
      </c>
      <c r="V50" s="388">
        <f t="shared" si="280"/>
        <v>1972.0411018884176</v>
      </c>
      <c r="W50" s="388">
        <f t="shared" si="280"/>
        <v>1954.1461819124472</v>
      </c>
      <c r="X50" s="388">
        <f t="shared" si="280"/>
        <v>1936.1617873365972</v>
      </c>
      <c r="Y50" s="388">
        <f t="shared" si="280"/>
        <v>1918.0874707878681</v>
      </c>
      <c r="Z50" s="388">
        <f t="shared" si="280"/>
        <v>1899.9227826563949</v>
      </c>
      <c r="AA50" s="388">
        <f t="shared" si="280"/>
        <v>1881.6672710842645</v>
      </c>
      <c r="AB50" s="388">
        <f t="shared" si="280"/>
        <v>1863.3204819542734</v>
      </c>
      <c r="AC50" s="388">
        <f t="shared" si="280"/>
        <v>1844.8819588786323</v>
      </c>
      <c r="AD50" s="388">
        <f t="shared" si="280"/>
        <v>1826.3512431876131</v>
      </c>
      <c r="AE50" s="388">
        <f t="shared" si="280"/>
        <v>1807.7278739181388</v>
      </c>
      <c r="AF50" s="388">
        <f t="shared" si="280"/>
        <v>1789.0113878023171</v>
      </c>
      <c r="AG50" s="388">
        <f t="shared" si="280"/>
        <v>1770.2013192559166</v>
      </c>
      <c r="AH50" s="388">
        <f t="shared" si="280"/>
        <v>1751.2972003667837</v>
      </c>
      <c r="AI50" s="388">
        <f t="shared" si="280"/>
        <v>1732.2985608832055</v>
      </c>
      <c r="AJ50" s="388">
        <f t="shared" si="280"/>
        <v>1713.204928202209</v>
      </c>
      <c r="AK50" s="388">
        <f t="shared" si="280"/>
        <v>1694.0158273578077</v>
      </c>
      <c r="AL50" s="388">
        <f t="shared" si="280"/>
        <v>1674.7307810091843</v>
      </c>
      <c r="AM50" s="388">
        <f t="shared" si="280"/>
        <v>1655.3493094288178</v>
      </c>
      <c r="AN50" s="388">
        <f t="shared" si="280"/>
        <v>1635.8709304905497</v>
      </c>
      <c r="AO50" s="388">
        <f t="shared" si="280"/>
        <v>1616.2951596575901</v>
      </c>
      <c r="AP50" s="388">
        <f t="shared" si="280"/>
        <v>1596.6215099704657</v>
      </c>
      <c r="AQ50" s="388">
        <f t="shared" si="280"/>
        <v>1576.8494920349058</v>
      </c>
      <c r="AR50" s="388">
        <f t="shared" si="280"/>
        <v>1556.9786140096678</v>
      </c>
      <c r="AS50" s="388">
        <f t="shared" si="280"/>
        <v>1537.0083815943037</v>
      </c>
      <c r="AT50" s="388">
        <f t="shared" si="280"/>
        <v>1516.938298016863</v>
      </c>
      <c r="AU50" s="388">
        <f t="shared" si="280"/>
        <v>1496.7678640215347</v>
      </c>
      <c r="AV50" s="388">
        <f t="shared" si="280"/>
        <v>1476.49657785623</v>
      </c>
      <c r="AW50" s="388">
        <f t="shared" si="280"/>
        <v>1456.123935260099</v>
      </c>
      <c r="AX50" s="388">
        <f t="shared" si="280"/>
        <v>1435.6494294509871</v>
      </c>
      <c r="AY50" s="388">
        <f t="shared" si="280"/>
        <v>1415.0725511128296</v>
      </c>
      <c r="AZ50" s="388">
        <f t="shared" si="280"/>
        <v>1394.3927883829815</v>
      </c>
      <c r="BA50" s="388">
        <f t="shared" si="280"/>
        <v>1373.609626839484</v>
      </c>
      <c r="BB50" s="388">
        <f t="shared" si="280"/>
        <v>1352.7225494882691</v>
      </c>
      <c r="BC50" s="388">
        <f t="shared" si="280"/>
        <v>1331.731036750298</v>
      </c>
      <c r="BD50" s="388">
        <f t="shared" si="280"/>
        <v>1310.6345664486373</v>
      </c>
      <c r="BE50" s="388">
        <f t="shared" si="280"/>
        <v>1289.4326137954681</v>
      </c>
      <c r="BF50" s="388">
        <f t="shared" si="280"/>
        <v>1268.1246513790331</v>
      </c>
      <c r="BG50" s="388">
        <f t="shared" si="280"/>
        <v>1246.7101491505159</v>
      </c>
      <c r="BH50" s="388">
        <f t="shared" si="280"/>
        <v>1225.1885744108561</v>
      </c>
      <c r="BI50" s="388">
        <f t="shared" si="280"/>
        <v>1203.5593917974979</v>
      </c>
      <c r="BJ50" s="388">
        <f t="shared" si="280"/>
        <v>1181.8220632710731</v>
      </c>
      <c r="BK50" s="388">
        <f t="shared" si="280"/>
        <v>1159.976048102016</v>
      </c>
      <c r="BL50" s="388">
        <f t="shared" si="280"/>
        <v>1138.0208028571137</v>
      </c>
      <c r="BM50" s="388">
        <f t="shared" si="280"/>
        <v>1115.9557813859869</v>
      </c>
      <c r="BN50" s="388">
        <f t="shared" si="280"/>
        <v>1093.7804348075047</v>
      </c>
      <c r="BO50" s="388">
        <f t="shared" si="280"/>
        <v>1071.4942114961298</v>
      </c>
      <c r="BP50" s="388">
        <f t="shared" ref="BP50:DR50" si="281">IF(BP48-BP49&lt;0,0,BP48-BP49)</f>
        <v>1049.0965570681979</v>
      </c>
      <c r="BQ50" s="388">
        <f t="shared" si="281"/>
        <v>1026.5869143681266</v>
      </c>
      <c r="BR50" s="388">
        <f t="shared" si="281"/>
        <v>1003.9647234545548</v>
      </c>
      <c r="BS50" s="388">
        <f t="shared" si="281"/>
        <v>981.22942158641524</v>
      </c>
      <c r="BT50" s="388">
        <f t="shared" si="281"/>
        <v>958.38044320893493</v>
      </c>
      <c r="BU50" s="388">
        <f t="shared" si="281"/>
        <v>935.41721993956719</v>
      </c>
      <c r="BV50" s="388">
        <f t="shared" si="281"/>
        <v>912.33918055385266</v>
      </c>
      <c r="BW50" s="388">
        <f t="shared" si="281"/>
        <v>889.14575097120974</v>
      </c>
      <c r="BX50" s="388">
        <f t="shared" si="281"/>
        <v>865.83635424065346</v>
      </c>
      <c r="BY50" s="388">
        <f t="shared" si="281"/>
        <v>842.41041052644437</v>
      </c>
      <c r="BZ50" s="388">
        <f t="shared" si="281"/>
        <v>818.8673370936641</v>
      </c>
      <c r="CA50" s="388">
        <f t="shared" si="281"/>
        <v>795.20654829372006</v>
      </c>
      <c r="CB50" s="388">
        <f t="shared" si="281"/>
        <v>771.42745554977625</v>
      </c>
      <c r="CC50" s="388">
        <f t="shared" si="281"/>
        <v>747.52946734211287</v>
      </c>
      <c r="CD50" s="388">
        <f t="shared" si="281"/>
        <v>723.51198919341118</v>
      </c>
      <c r="CE50" s="388">
        <f t="shared" si="281"/>
        <v>699.37442365396589</v>
      </c>
      <c r="CF50" s="388">
        <f t="shared" si="281"/>
        <v>675.11617028682326</v>
      </c>
      <c r="CG50" s="388">
        <f t="shared" si="281"/>
        <v>650.73662565284508</v>
      </c>
      <c r="CH50" s="388">
        <f t="shared" si="281"/>
        <v>626.23518329569697</v>
      </c>
      <c r="CI50" s="388">
        <f t="shared" si="281"/>
        <v>601.61123372676309</v>
      </c>
      <c r="CJ50" s="388">
        <f t="shared" si="281"/>
        <v>576.8641644099846</v>
      </c>
      <c r="CK50" s="388">
        <f t="shared" si="281"/>
        <v>551.9933597466221</v>
      </c>
      <c r="CL50" s="388">
        <f t="shared" si="281"/>
        <v>526.99820105994286</v>
      </c>
      <c r="CM50" s="388">
        <f t="shared" si="281"/>
        <v>501.8780665798302</v>
      </c>
      <c r="CN50" s="388">
        <f t="shared" si="281"/>
        <v>476.63233142731696</v>
      </c>
      <c r="CO50" s="388">
        <f t="shared" si="281"/>
        <v>451.2603675990411</v>
      </c>
      <c r="CP50" s="388">
        <f t="shared" si="281"/>
        <v>425.76154395162393</v>
      </c>
      <c r="CQ50" s="388">
        <f t="shared" si="281"/>
        <v>400.13522618596977</v>
      </c>
      <c r="CR50" s="388">
        <f t="shared" si="281"/>
        <v>374.38077683148725</v>
      </c>
      <c r="CS50" s="388">
        <f t="shared" si="281"/>
        <v>348.49755523023236</v>
      </c>
      <c r="CT50" s="388">
        <f t="shared" si="281"/>
        <v>322.48491752097124</v>
      </c>
      <c r="CU50" s="388">
        <f t="shared" si="281"/>
        <v>296.34221662316367</v>
      </c>
      <c r="CV50" s="388">
        <f t="shared" si="281"/>
        <v>270.06880222086716</v>
      </c>
      <c r="CW50" s="388">
        <f t="shared" si="281"/>
        <v>243.66402074655912</v>
      </c>
      <c r="CX50" s="388">
        <f t="shared" si="281"/>
        <v>217.12721536487953</v>
      </c>
      <c r="CY50" s="388">
        <f t="shared" si="281"/>
        <v>190.4577259562916</v>
      </c>
      <c r="CZ50" s="388">
        <f t="shared" si="281"/>
        <v>163.65488910066074</v>
      </c>
      <c r="DA50" s="388">
        <f t="shared" si="281"/>
        <v>136.71803806075161</v>
      </c>
      <c r="DB50" s="388">
        <f t="shared" si="281"/>
        <v>109.64650276564299</v>
      </c>
      <c r="DC50" s="388">
        <f t="shared" si="281"/>
        <v>82.439609794058867</v>
      </c>
      <c r="DD50" s="388">
        <f t="shared" si="281"/>
        <v>55.096682357616828</v>
      </c>
      <c r="DE50" s="388">
        <f t="shared" si="281"/>
        <v>27.617040283992537</v>
      </c>
      <c r="DF50" s="388">
        <f t="shared" si="281"/>
        <v>1.1368683772161603E-13</v>
      </c>
      <c r="DG50" s="388">
        <f t="shared" si="281"/>
        <v>5.6843418860808015E-14</v>
      </c>
      <c r="DH50" s="388">
        <f t="shared" si="281"/>
        <v>1.1368683772161603E-13</v>
      </c>
      <c r="DI50" s="388">
        <f t="shared" si="281"/>
        <v>1.4210854715202004E-13</v>
      </c>
      <c r="DJ50" s="388">
        <f t="shared" si="281"/>
        <v>1.7053025658242404E-13</v>
      </c>
      <c r="DK50" s="388">
        <f t="shared" si="281"/>
        <v>1.4210854715202004E-13</v>
      </c>
      <c r="DL50" s="388">
        <f t="shared" si="281"/>
        <v>1.4210854715202004E-13</v>
      </c>
      <c r="DM50" s="388">
        <f t="shared" si="281"/>
        <v>1.1368683772161603E-13</v>
      </c>
      <c r="DN50" s="388">
        <f t="shared" si="281"/>
        <v>1.2789769243681803E-13</v>
      </c>
      <c r="DO50" s="388">
        <f t="shared" si="281"/>
        <v>1.2789769243681803E-13</v>
      </c>
      <c r="DP50" s="388">
        <f t="shared" si="281"/>
        <v>1.2789769243681803E-13</v>
      </c>
      <c r="DQ50" s="388">
        <f t="shared" si="281"/>
        <v>1.2789769243681803E-13</v>
      </c>
      <c r="DR50" s="388">
        <f t="shared" si="281"/>
        <v>1.2789769243681803E-13</v>
      </c>
    </row>
    <row r="52" spans="2:122" x14ac:dyDescent="0.3">
      <c r="B52" s="181" t="s">
        <v>440</v>
      </c>
    </row>
    <row r="54" spans="2:122" x14ac:dyDescent="0.3">
      <c r="B54" s="378" t="s">
        <v>427</v>
      </c>
      <c r="C54" s="377">
        <v>1</v>
      </c>
      <c r="D54" s="377">
        <v>2</v>
      </c>
      <c r="E54" s="377">
        <v>3</v>
      </c>
      <c r="F54" s="377">
        <v>4</v>
      </c>
      <c r="G54" s="377">
        <v>5</v>
      </c>
      <c r="H54" s="377">
        <v>6</v>
      </c>
      <c r="I54" s="377">
        <v>7</v>
      </c>
      <c r="J54" s="377">
        <v>8</v>
      </c>
      <c r="K54" s="377">
        <v>9</v>
      </c>
      <c r="L54" s="377">
        <v>10</v>
      </c>
      <c r="M54" s="377">
        <v>11</v>
      </c>
      <c r="N54" s="377">
        <v>12</v>
      </c>
      <c r="O54" s="377">
        <v>13</v>
      </c>
      <c r="P54" s="377">
        <v>14</v>
      </c>
      <c r="Q54" s="377">
        <v>15</v>
      </c>
      <c r="R54" s="377">
        <v>16</v>
      </c>
      <c r="S54" s="377">
        <v>17</v>
      </c>
      <c r="T54" s="377">
        <v>18</v>
      </c>
      <c r="U54" s="377">
        <v>19</v>
      </c>
      <c r="V54" s="377">
        <v>20</v>
      </c>
      <c r="W54" s="377">
        <v>21</v>
      </c>
      <c r="X54" s="377">
        <v>22</v>
      </c>
      <c r="Y54" s="377">
        <v>23</v>
      </c>
      <c r="Z54" s="377">
        <v>24</v>
      </c>
      <c r="AA54" s="377">
        <v>25</v>
      </c>
      <c r="AB54" s="377">
        <v>26</v>
      </c>
      <c r="AC54" s="377">
        <v>27</v>
      </c>
      <c r="AD54" s="377">
        <v>28</v>
      </c>
      <c r="AE54" s="377">
        <v>29</v>
      </c>
      <c r="AF54" s="377">
        <v>30</v>
      </c>
      <c r="AG54" s="377">
        <v>31</v>
      </c>
      <c r="AH54" s="377">
        <v>32</v>
      </c>
      <c r="AI54" s="377">
        <v>33</v>
      </c>
      <c r="AJ54" s="377">
        <v>34</v>
      </c>
      <c r="AK54" s="377">
        <v>35</v>
      </c>
      <c r="AL54" s="377">
        <v>36</v>
      </c>
      <c r="AM54" s="377">
        <v>37</v>
      </c>
      <c r="AN54" s="377">
        <v>38</v>
      </c>
      <c r="AO54" s="377">
        <v>39</v>
      </c>
      <c r="AP54" s="377">
        <v>40</v>
      </c>
      <c r="AQ54" s="377">
        <v>41</v>
      </c>
      <c r="AR54" s="377">
        <v>42</v>
      </c>
      <c r="AS54" s="377">
        <v>43</v>
      </c>
      <c r="AT54" s="377">
        <v>44</v>
      </c>
      <c r="AU54" s="377">
        <v>45</v>
      </c>
      <c r="AV54" s="377">
        <v>46</v>
      </c>
      <c r="AW54" s="377">
        <v>47</v>
      </c>
      <c r="AX54" s="377">
        <v>48</v>
      </c>
      <c r="AY54" s="377">
        <v>49</v>
      </c>
      <c r="AZ54" s="377">
        <v>50</v>
      </c>
      <c r="BA54" s="377">
        <v>51</v>
      </c>
      <c r="BB54" s="377">
        <v>52</v>
      </c>
      <c r="BC54" s="377">
        <v>53</v>
      </c>
      <c r="BD54" s="377">
        <v>54</v>
      </c>
      <c r="BE54" s="377">
        <v>55</v>
      </c>
      <c r="BF54" s="377">
        <v>56</v>
      </c>
      <c r="BG54" s="377">
        <v>57</v>
      </c>
      <c r="BH54" s="377">
        <v>58</v>
      </c>
      <c r="BI54" s="377">
        <v>59</v>
      </c>
      <c r="BJ54" s="377">
        <v>60</v>
      </c>
      <c r="BK54" s="377">
        <v>61</v>
      </c>
      <c r="BL54" s="377">
        <v>62</v>
      </c>
      <c r="BM54" s="377">
        <v>63</v>
      </c>
      <c r="BN54" s="377">
        <v>64</v>
      </c>
      <c r="BO54" s="377">
        <v>65</v>
      </c>
      <c r="BP54" s="377">
        <v>66</v>
      </c>
      <c r="BQ54" s="377">
        <v>67</v>
      </c>
      <c r="BR54" s="377">
        <v>68</v>
      </c>
      <c r="BS54" s="377">
        <v>69</v>
      </c>
      <c r="BT54" s="377">
        <v>70</v>
      </c>
      <c r="BU54" s="377">
        <v>71</v>
      </c>
      <c r="BV54" s="377">
        <v>72</v>
      </c>
      <c r="BW54" s="377">
        <v>73</v>
      </c>
      <c r="BX54" s="377">
        <v>74</v>
      </c>
      <c r="BY54" s="377">
        <v>75</v>
      </c>
      <c r="BZ54" s="377">
        <v>76</v>
      </c>
      <c r="CA54" s="377">
        <v>77</v>
      </c>
      <c r="CB54" s="377">
        <v>78</v>
      </c>
      <c r="CC54" s="377">
        <v>79</v>
      </c>
      <c r="CD54" s="377">
        <v>80</v>
      </c>
      <c r="CE54" s="377">
        <v>81</v>
      </c>
      <c r="CF54" s="377">
        <v>82</v>
      </c>
      <c r="CG54" s="377">
        <v>83</v>
      </c>
      <c r="CH54" s="377">
        <v>84</v>
      </c>
      <c r="CI54" s="377">
        <v>85</v>
      </c>
      <c r="CJ54" s="377">
        <v>86</v>
      </c>
      <c r="CK54" s="377">
        <v>87</v>
      </c>
      <c r="CL54" s="377">
        <v>88</v>
      </c>
      <c r="CM54" s="377">
        <v>89</v>
      </c>
      <c r="CN54" s="377">
        <v>90</v>
      </c>
      <c r="CO54" s="377">
        <v>91</v>
      </c>
      <c r="CP54" s="377">
        <v>92</v>
      </c>
      <c r="CQ54" s="377">
        <v>93</v>
      </c>
      <c r="CR54" s="377">
        <v>94</v>
      </c>
      <c r="CS54" s="377">
        <v>95</v>
      </c>
      <c r="CT54" s="377">
        <v>96</v>
      </c>
      <c r="CU54" s="377">
        <v>97</v>
      </c>
      <c r="CV54" s="377">
        <v>98</v>
      </c>
      <c r="CW54" s="377">
        <v>99</v>
      </c>
      <c r="CX54" s="377">
        <v>100</v>
      </c>
      <c r="CY54" s="377">
        <v>101</v>
      </c>
      <c r="CZ54" s="377">
        <v>102</v>
      </c>
      <c r="DA54" s="377">
        <v>103</v>
      </c>
      <c r="DB54" s="377">
        <v>104</v>
      </c>
      <c r="DC54" s="377">
        <v>105</v>
      </c>
      <c r="DD54" s="377">
        <v>106</v>
      </c>
      <c r="DE54" s="377">
        <v>107</v>
      </c>
      <c r="DF54" s="377">
        <v>108</v>
      </c>
      <c r="DG54" s="377">
        <v>109</v>
      </c>
      <c r="DH54" s="377">
        <v>110</v>
      </c>
      <c r="DI54" s="377">
        <v>111</v>
      </c>
      <c r="DJ54" s="377">
        <v>112</v>
      </c>
      <c r="DK54" s="377">
        <v>113</v>
      </c>
      <c r="DL54" s="377">
        <v>114</v>
      </c>
      <c r="DM54" s="377">
        <v>115</v>
      </c>
      <c r="DN54" s="377">
        <v>116</v>
      </c>
      <c r="DO54" s="377">
        <v>117</v>
      </c>
      <c r="DP54" s="377">
        <v>118</v>
      </c>
      <c r="DQ54" s="377">
        <v>119</v>
      </c>
      <c r="DR54" s="377">
        <v>120</v>
      </c>
    </row>
    <row r="55" spans="2:122" x14ac:dyDescent="0.3">
      <c r="B55" s="382" t="s">
        <v>434</v>
      </c>
      <c r="C55" s="383">
        <f>C21+C33+C45+C9</f>
        <v>18.589860478763512</v>
      </c>
      <c r="D55" s="383">
        <f t="shared" ref="D55:BO56" si="282">D21+D33+D45+D9</f>
        <v>18.697633958623275</v>
      </c>
      <c r="E55" s="383">
        <f t="shared" si="282"/>
        <v>18.806087410305512</v>
      </c>
      <c r="F55" s="383">
        <f t="shared" si="282"/>
        <v>18.915225580662188</v>
      </c>
      <c r="G55" s="383">
        <f t="shared" si="282"/>
        <v>19.025053253171293</v>
      </c>
      <c r="H55" s="383">
        <f t="shared" si="282"/>
        <v>19.135575248243622</v>
      </c>
      <c r="I55" s="383">
        <f t="shared" si="282"/>
        <v>19.246796423532317</v>
      </c>
      <c r="J55" s="383">
        <f t="shared" si="282"/>
        <v>19.35872167424511</v>
      </c>
      <c r="K55" s="383">
        <f t="shared" si="282"/>
        <v>19.471355933459385</v>
      </c>
      <c r="L55" s="383">
        <f t="shared" si="282"/>
        <v>19.584704172440023</v>
      </c>
      <c r="M55" s="383">
        <f t="shared" si="282"/>
        <v>19.698771400960045</v>
      </c>
      <c r="N55" s="383">
        <f t="shared" si="282"/>
        <v>19.81356266762414</v>
      </c>
      <c r="O55" s="383">
        <f t="shared" si="282"/>
        <v>19.929083060195069</v>
      </c>
      <c r="P55" s="383">
        <f t="shared" si="282"/>
        <v>20.045337705922933</v>
      </c>
      <c r="Q55" s="383">
        <f t="shared" si="282"/>
        <v>20.162331771877405</v>
      </c>
      <c r="R55" s="383">
        <f t="shared" si="282"/>
        <v>20.280070465282943</v>
      </c>
      <c r="S55" s="383">
        <f t="shared" si="282"/>
        <v>20.398559033856923</v>
      </c>
      <c r="T55" s="383">
        <f t="shared" si="282"/>
        <v>20.517802766150812</v>
      </c>
      <c r="U55" s="383">
        <f t="shared" si="282"/>
        <v>20.637806991894418</v>
      </c>
      <c r="V55" s="383">
        <f t="shared" si="282"/>
        <v>20.758577082343148</v>
      </c>
      <c r="W55" s="383">
        <f t="shared" si="282"/>
        <v>20.880118450628405</v>
      </c>
      <c r="X55" s="383">
        <f t="shared" si="282"/>
        <v>21.002436552111078</v>
      </c>
      <c r="Y55" s="383">
        <f t="shared" si="282"/>
        <v>21.125536884738217</v>
      </c>
      <c r="Z55" s="383">
        <f t="shared" si="282"/>
        <v>21.249424989402865</v>
      </c>
      <c r="AA55" s="383">
        <f t="shared" si="282"/>
        <v>21.37410645030711</v>
      </c>
      <c r="AB55" s="383">
        <f t="shared" si="282"/>
        <v>21.499586895328381</v>
      </c>
      <c r="AC55" s="383">
        <f t="shared" si="282"/>
        <v>21.625871996389016</v>
      </c>
      <c r="AD55" s="383">
        <f t="shared" si="282"/>
        <v>21.75296746982913</v>
      </c>
      <c r="AE55" s="383">
        <f t="shared" si="282"/>
        <v>21.880879076782815</v>
      </c>
      <c r="AF55" s="383">
        <f t="shared" si="282"/>
        <v>22.009612623557686</v>
      </c>
      <c r="AG55" s="383">
        <f t="shared" si="282"/>
        <v>22.139173962017875</v>
      </c>
      <c r="AH55" s="383">
        <f t="shared" si="282"/>
        <v>22.26956898997037</v>
      </c>
      <c r="AI55" s="383">
        <f t="shared" si="282"/>
        <v>22.400803651554885</v>
      </c>
      <c r="AJ55" s="383">
        <f t="shared" si="282"/>
        <v>22.532883937637166</v>
      </c>
      <c r="AK55" s="383">
        <f t="shared" si="282"/>
        <v>22.665815886205863</v>
      </c>
      <c r="AL55" s="383">
        <f t="shared" si="282"/>
        <v>22.799605582772923</v>
      </c>
      <c r="AM55" s="383">
        <f t="shared" si="282"/>
        <v>22.934259160777557</v>
      </c>
      <c r="AN55" s="383">
        <f t="shared" si="282"/>
        <v>23.069782801993906</v>
      </c>
      <c r="AO55" s="383">
        <f t="shared" si="282"/>
        <v>23.20618273694225</v>
      </c>
      <c r="AP55" s="383">
        <f t="shared" si="282"/>
        <v>23.343465245303982</v>
      </c>
      <c r="AQ55" s="383">
        <f t="shared" si="282"/>
        <v>23.481636656340285</v>
      </c>
      <c r="AR55" s="383">
        <f t="shared" si="282"/>
        <v>23.62070334931456</v>
      </c>
      <c r="AS55" s="383">
        <f t="shared" si="282"/>
        <v>23.760671753918619</v>
      </c>
      <c r="AT55" s="383">
        <f t="shared" si="282"/>
        <v>23.901548350702775</v>
      </c>
      <c r="AU55" s="383">
        <f t="shared" si="282"/>
        <v>24.043339671509727</v>
      </c>
      <c r="AV55" s="383">
        <f t="shared" si="282"/>
        <v>24.186052299912348</v>
      </c>
      <c r="AW55" s="383">
        <f t="shared" si="282"/>
        <v>24.329692871655446</v>
      </c>
      <c r="AX55" s="383">
        <f t="shared" si="282"/>
        <v>24.474268075101463</v>
      </c>
      <c r="AY55" s="383">
        <f t="shared" si="282"/>
        <v>24.619784651680188</v>
      </c>
      <c r="AZ55" s="383">
        <f t="shared" si="282"/>
        <v>24.766249396342523</v>
      </c>
      <c r="BA55" s="383">
        <f t="shared" si="282"/>
        <v>24.913669158018301</v>
      </c>
      <c r="BB55" s="383">
        <f t="shared" si="282"/>
        <v>25.062050840078268</v>
      </c>
      <c r="BC55" s="383">
        <f t="shared" si="282"/>
        <v>25.211401400800185</v>
      </c>
      <c r="BD55" s="383">
        <f t="shared" si="282"/>
        <v>25.361727853839135</v>
      </c>
      <c r="BE55" s="383">
        <f t="shared" si="282"/>
        <v>25.513037268702099</v>
      </c>
      <c r="BF55" s="383">
        <f t="shared" si="282"/>
        <v>25.665336771226741</v>
      </c>
      <c r="BG55" s="383">
        <f t="shared" si="282"/>
        <v>25.818633544064539</v>
      </c>
      <c r="BH55" s="383">
        <f t="shared" si="282"/>
        <v>25.97293482716832</v>
      </c>
      <c r="BI55" s="383">
        <f t="shared" si="282"/>
        <v>26.128247918284114</v>
      </c>
      <c r="BJ55" s="383">
        <f t="shared" si="282"/>
        <v>26.284580173447434</v>
      </c>
      <c r="BK55" s="383">
        <f t="shared" si="282"/>
        <v>26.286976457136731</v>
      </c>
      <c r="BL55" s="383">
        <f t="shared" si="282"/>
        <v>26.443974681215209</v>
      </c>
      <c r="BM55" s="383">
        <f t="shared" si="282"/>
        <v>26.602001940248993</v>
      </c>
      <c r="BN55" s="383">
        <f t="shared" si="282"/>
        <v>26.76106571551734</v>
      </c>
      <c r="BO55" s="383">
        <f t="shared" si="282"/>
        <v>26.921173548121924</v>
      </c>
      <c r="BP55" s="383">
        <f t="shared" ref="BP55:DR59" si="283">BP21+BP33+BP45+BP9</f>
        <v>27.082333039501435</v>
      </c>
      <c r="BQ55" s="383">
        <f t="shared" si="283"/>
        <v>27.244551851950966</v>
      </c>
      <c r="BR55" s="383">
        <f t="shared" si="283"/>
        <v>27.407837709145944</v>
      </c>
      <c r="BS55" s="383">
        <f t="shared" si="283"/>
        <v>27.572198396670903</v>
      </c>
      <c r="BT55" s="383">
        <f t="shared" si="283"/>
        <v>27.737641762553</v>
      </c>
      <c r="BU55" s="383">
        <f t="shared" si="283"/>
        <v>27.904175717800339</v>
      </c>
      <c r="BV55" s="383">
        <f t="shared" si="283"/>
        <v>28.071808236945255</v>
      </c>
      <c r="BW55" s="383">
        <f t="shared" si="283"/>
        <v>23.062206214210196</v>
      </c>
      <c r="BX55" s="383">
        <f t="shared" si="283"/>
        <v>23.181571215431752</v>
      </c>
      <c r="BY55" s="383">
        <f t="shared" si="283"/>
        <v>23.301566824744008</v>
      </c>
      <c r="BZ55" s="383">
        <f t="shared" si="283"/>
        <v>23.422196476713118</v>
      </c>
      <c r="CA55" s="383">
        <f t="shared" si="283"/>
        <v>23.543463625424121</v>
      </c>
      <c r="CB55" s="383">
        <f t="shared" si="283"/>
        <v>23.665371744598076</v>
      </c>
      <c r="CC55" s="383">
        <f t="shared" si="283"/>
        <v>23.787924327709952</v>
      </c>
      <c r="CD55" s="383">
        <f t="shared" si="283"/>
        <v>23.911124888107295</v>
      </c>
      <c r="CE55" s="383">
        <f t="shared" si="283"/>
        <v>24.034976959129619</v>
      </c>
      <c r="CF55" s="383">
        <f t="shared" si="283"/>
        <v>24.159484094228564</v>
      </c>
      <c r="CG55" s="383">
        <f t="shared" si="283"/>
        <v>24.284649867088874</v>
      </c>
      <c r="CH55" s="383">
        <f t="shared" si="283"/>
        <v>24.410477871750057</v>
      </c>
      <c r="CI55" s="383">
        <f t="shared" si="283"/>
        <v>24.536971722728921</v>
      </c>
      <c r="CJ55" s="383">
        <f t="shared" si="283"/>
        <v>24.66413505514285</v>
      </c>
      <c r="CK55" s="383">
        <f t="shared" si="283"/>
        <v>24.791971524833855</v>
      </c>
      <c r="CL55" s="383">
        <f t="shared" si="283"/>
        <v>24.920484808493441</v>
      </c>
      <c r="CM55" s="383">
        <f t="shared" si="283"/>
        <v>25.049678603788287</v>
      </c>
      <c r="CN55" s="383">
        <f t="shared" si="283"/>
        <v>25.179556629486704</v>
      </c>
      <c r="CO55" s="383">
        <f t="shared" si="283"/>
        <v>25.310122625585954</v>
      </c>
      <c r="CP55" s="383">
        <f t="shared" si="283"/>
        <v>25.441380353440287</v>
      </c>
      <c r="CQ55" s="383">
        <f t="shared" si="283"/>
        <v>25.573333595889952</v>
      </c>
      <c r="CR55" s="383">
        <f t="shared" si="283"/>
        <v>25.705986157390882</v>
      </c>
      <c r="CS55" s="383">
        <f t="shared" si="283"/>
        <v>25.839341864145332</v>
      </c>
      <c r="CT55" s="383">
        <f t="shared" si="283"/>
        <v>25.973404564233284</v>
      </c>
      <c r="CU55" s="383">
        <f t="shared" si="283"/>
        <v>26.108178127744733</v>
      </c>
      <c r="CV55" s="383">
        <f t="shared" si="283"/>
        <v>26.243666446912826</v>
      </c>
      <c r="CW55" s="383">
        <f t="shared" si="283"/>
        <v>26.379873436247841</v>
      </c>
      <c r="CX55" s="383">
        <f t="shared" si="283"/>
        <v>26.516803032672026</v>
      </c>
      <c r="CY55" s="383">
        <f t="shared" si="283"/>
        <v>26.654459195655367</v>
      </c>
      <c r="CZ55" s="383">
        <f t="shared" si="283"/>
        <v>26.792845907352117</v>
      </c>
      <c r="DA55" s="383">
        <f t="shared" si="283"/>
        <v>26.931967172738339</v>
      </c>
      <c r="DB55" s="383">
        <f t="shared" si="283"/>
        <v>27.071827019750241</v>
      </c>
      <c r="DC55" s="383">
        <f t="shared" si="283"/>
        <v>27.212429499423436</v>
      </c>
      <c r="DD55" s="383">
        <f t="shared" si="283"/>
        <v>27.353778686033117</v>
      </c>
      <c r="DE55" s="383">
        <f t="shared" si="283"/>
        <v>27.495878677235119</v>
      </c>
      <c r="DF55" s="383">
        <f t="shared" si="283"/>
        <v>27.638733594207896</v>
      </c>
      <c r="DG55" s="383">
        <f t="shared" si="283"/>
        <v>27.782347581795424</v>
      </c>
      <c r="DH55" s="383">
        <f t="shared" si="283"/>
        <v>27.926724808651024</v>
      </c>
      <c r="DI55" s="383">
        <f t="shared" si="283"/>
        <v>28.071869467382129</v>
      </c>
      <c r="DJ55" s="383">
        <f t="shared" si="283"/>
        <v>28.217785774695955</v>
      </c>
      <c r="DK55" s="383">
        <f t="shared" si="283"/>
        <v>28.364477971546155</v>
      </c>
      <c r="DL55" s="383">
        <f t="shared" si="283"/>
        <v>28.511950323280416</v>
      </c>
      <c r="DM55" s="383">
        <f t="shared" si="283"/>
        <v>28.660207119788982</v>
      </c>
      <c r="DN55" s="383">
        <f t="shared" si="283"/>
        <v>28.809252675654193</v>
      </c>
      <c r="DO55" s="383">
        <f t="shared" si="283"/>
        <v>28.959091330300947</v>
      </c>
      <c r="DP55" s="383">
        <f t="shared" si="283"/>
        <v>29.109727448148174</v>
      </c>
      <c r="DQ55" s="383">
        <f t="shared" si="283"/>
        <v>29.261165418761273</v>
      </c>
      <c r="DR55" s="383">
        <f t="shared" si="283"/>
        <v>29.413409657005531</v>
      </c>
    </row>
    <row r="56" spans="2:122" x14ac:dyDescent="0.3">
      <c r="B56" s="382" t="s">
        <v>435</v>
      </c>
      <c r="C56" s="383">
        <f t="shared" ref="C56:R60" si="284">C22+C34+C46+C10</f>
        <v>15.185811407054256</v>
      </c>
      <c r="D56" s="383">
        <f t="shared" si="284"/>
        <v>15.148081256923506</v>
      </c>
      <c r="E56" s="383">
        <f t="shared" si="284"/>
        <v>15.110018962411639</v>
      </c>
      <c r="F56" s="383">
        <f t="shared" si="284"/>
        <v>15.071621490929273</v>
      </c>
      <c r="G56" s="383">
        <f t="shared" si="284"/>
        <v>15.032885781568694</v>
      </c>
      <c r="H56" s="383">
        <f t="shared" si="284"/>
        <v>14.99380874483573</v>
      </c>
      <c r="I56" s="383">
        <f t="shared" si="284"/>
        <v>14.954387262379042</v>
      </c>
      <c r="J56" s="383">
        <f t="shared" si="284"/>
        <v>14.91461818671686</v>
      </c>
      <c r="K56" s="383">
        <f t="shared" si="284"/>
        <v>14.874498340961113</v>
      </c>
      <c r="L56" s="383">
        <f t="shared" si="284"/>
        <v>14.834024518538895</v>
      </c>
      <c r="M56" s="383">
        <f t="shared" si="284"/>
        <v>14.793193482911281</v>
      </c>
      <c r="N56" s="383">
        <f t="shared" si="284"/>
        <v>14.752001967289466</v>
      </c>
      <c r="O56" s="383">
        <f t="shared" si="284"/>
        <v>14.710446674348177</v>
      </c>
      <c r="P56" s="383">
        <f t="shared" si="284"/>
        <v>14.668524275936354</v>
      </c>
      <c r="Q56" s="383">
        <f t="shared" si="284"/>
        <v>14.626231412785062</v>
      </c>
      <c r="R56" s="383">
        <f t="shared" si="284"/>
        <v>14.583564694212619</v>
      </c>
      <c r="S56" s="383">
        <f t="shared" si="282"/>
        <v>14.540520697826885</v>
      </c>
      <c r="T56" s="383">
        <f t="shared" si="282"/>
        <v>14.497095969224723</v>
      </c>
      <c r="U56" s="383">
        <f t="shared" si="282"/>
        <v>14.453287021688588</v>
      </c>
      <c r="V56" s="383">
        <f t="shared" si="282"/>
        <v>14.409090335880206</v>
      </c>
      <c r="W56" s="383">
        <f t="shared" si="282"/>
        <v>14.364502359531317</v>
      </c>
      <c r="X56" s="383">
        <f t="shared" si="282"/>
        <v>14.319519507131478</v>
      </c>
      <c r="Y56" s="383">
        <f t="shared" si="282"/>
        <v>14.274138159612878</v>
      </c>
      <c r="Z56" s="383">
        <f t="shared" si="282"/>
        <v>14.228354664032123</v>
      </c>
      <c r="AA56" s="383">
        <f t="shared" si="282"/>
        <v>14.182165333248992</v>
      </c>
      <c r="AB56" s="383">
        <f t="shared" si="282"/>
        <v>14.135566445602112</v>
      </c>
      <c r="AC56" s="383">
        <f t="shared" si="282"/>
        <v>14.088554244581541</v>
      </c>
      <c r="AD56" s="383">
        <f t="shared" si="282"/>
        <v>14.041124938498209</v>
      </c>
      <c r="AE56" s="383">
        <f t="shared" si="282"/>
        <v>13.993274700150199</v>
      </c>
      <c r="AF56" s="383">
        <f t="shared" si="282"/>
        <v>13.944999666485833</v>
      </c>
      <c r="AG56" s="383">
        <f t="shared" si="282"/>
        <v>13.896295938263551</v>
      </c>
      <c r="AH56" s="383">
        <f t="shared" si="282"/>
        <v>13.847159579708501</v>
      </c>
      <c r="AI56" s="383">
        <f t="shared" si="282"/>
        <v>13.797586618165885</v>
      </c>
      <c r="AJ56" s="383">
        <f t="shared" si="282"/>
        <v>13.747573043750954</v>
      </c>
      <c r="AK56" s="383">
        <f t="shared" si="282"/>
        <v>13.697114808995662</v>
      </c>
      <c r="AL56" s="383">
        <f t="shared" si="282"/>
        <v>13.646207828491969</v>
      </c>
      <c r="AM56" s="383">
        <f t="shared" si="282"/>
        <v>13.594847978531657</v>
      </c>
      <c r="AN56" s="383">
        <f t="shared" si="282"/>
        <v>13.543031096742798</v>
      </c>
      <c r="AO56" s="383">
        <f t="shared" si="282"/>
        <v>13.490752981722636</v>
      </c>
      <c r="AP56" s="383">
        <f t="shared" si="282"/>
        <v>13.438009392667039</v>
      </c>
      <c r="AQ56" s="383">
        <f t="shared" si="282"/>
        <v>13.384796048996384</v>
      </c>
      <c r="AR56" s="383">
        <f t="shared" si="282"/>
        <v>13.331108629977797</v>
      </c>
      <c r="AS56" s="383">
        <f t="shared" si="282"/>
        <v>13.276942774343874</v>
      </c>
      <c r="AT56" s="383">
        <f t="shared" si="282"/>
        <v>13.222294079907684</v>
      </c>
      <c r="AU56" s="383">
        <f t="shared" si="282"/>
        <v>13.167158103174103</v>
      </c>
      <c r="AV56" s="383">
        <f t="shared" si="282"/>
        <v>13.111530358947434</v>
      </c>
      <c r="AW56" s="383">
        <f t="shared" si="282"/>
        <v>13.055406319935257</v>
      </c>
      <c r="AX56" s="383">
        <f t="shared" si="282"/>
        <v>12.998781416348493</v>
      </c>
      <c r="AY56" s="383">
        <f t="shared" si="282"/>
        <v>12.941651035497634</v>
      </c>
      <c r="AZ56" s="383">
        <f t="shared" si="282"/>
        <v>12.884010521385107</v>
      </c>
      <c r="BA56" s="383">
        <f t="shared" si="282"/>
        <v>12.825855174293725</v>
      </c>
      <c r="BB56" s="383">
        <f t="shared" si="282"/>
        <v>12.767180250371219</v>
      </c>
      <c r="BC56" s="383">
        <f t="shared" si="282"/>
        <v>12.70798096121074</v>
      </c>
      <c r="BD56" s="383">
        <f t="shared" si="282"/>
        <v>12.648252473427416</v>
      </c>
      <c r="BE56" s="383">
        <f t="shared" si="282"/>
        <v>12.587989908230771</v>
      </c>
      <c r="BF56" s="383">
        <f t="shared" si="282"/>
        <v>12.527188340993106</v>
      </c>
      <c r="BG56" s="383">
        <f t="shared" si="282"/>
        <v>12.465842800813729</v>
      </c>
      <c r="BH56" s="383">
        <f t="shared" si="282"/>
        <v>12.403948270078976</v>
      </c>
      <c r="BI56" s="383">
        <f t="shared" si="282"/>
        <v>12.341499684018071</v>
      </c>
      <c r="BJ56" s="383">
        <f t="shared" si="282"/>
        <v>12.278491930254679</v>
      </c>
      <c r="BK56" s="383">
        <f t="shared" si="282"/>
        <v>12.214919848354189</v>
      </c>
      <c r="BL56" s="383">
        <f t="shared" si="282"/>
        <v>12.152172892319786</v>
      </c>
      <c r="BM56" s="383">
        <f t="shared" si="282"/>
        <v>12.088863693238176</v>
      </c>
      <c r="BN56" s="383">
        <f t="shared" si="282"/>
        <v>12.024987056707664</v>
      </c>
      <c r="BO56" s="383">
        <f t="shared" si="282"/>
        <v>11.960537739430269</v>
      </c>
      <c r="BP56" s="383">
        <f t="shared" si="283"/>
        <v>11.895510448746023</v>
      </c>
      <c r="BQ56" s="383">
        <f t="shared" si="283"/>
        <v>11.829899842162812</v>
      </c>
      <c r="BR56" s="383">
        <f t="shared" si="283"/>
        <v>11.763700526881685</v>
      </c>
      <c r="BS56" s="383">
        <f t="shared" si="283"/>
        <v>11.696907059317624</v>
      </c>
      <c r="BT56" s="383">
        <f t="shared" si="283"/>
        <v>11.629513944615693</v>
      </c>
      <c r="BU56" s="383">
        <f t="shared" si="283"/>
        <v>11.561515636162563</v>
      </c>
      <c r="BV56" s="383">
        <f t="shared" si="283"/>
        <v>11.492906535093312</v>
      </c>
      <c r="BW56" s="383">
        <f t="shared" si="283"/>
        <v>11.423680989793537</v>
      </c>
      <c r="BX56" s="383">
        <f t="shared" si="283"/>
        <v>11.404322121554353</v>
      </c>
      <c r="BY56" s="383">
        <f t="shared" si="283"/>
        <v>11.384827611646759</v>
      </c>
      <c r="BZ56" s="383">
        <f t="shared" si="283"/>
        <v>11.365196446766335</v>
      </c>
      <c r="CA56" s="383">
        <f t="shared" si="283"/>
        <v>11.345427605615276</v>
      </c>
      <c r="CB56" s="383">
        <f t="shared" si="283"/>
        <v>11.325520058836327</v>
      </c>
      <c r="CC56" s="383">
        <f t="shared" si="283"/>
        <v>11.305472768946206</v>
      </c>
      <c r="CD56" s="383">
        <f t="shared" si="283"/>
        <v>11.285284690268407</v>
      </c>
      <c r="CE56" s="383">
        <f t="shared" si="283"/>
        <v>11.264954768865445</v>
      </c>
      <c r="CF56" s="383">
        <f t="shared" si="283"/>
        <v>11.244481942470536</v>
      </c>
      <c r="CG56" s="383">
        <f t="shared" si="283"/>
        <v>11.223865140418635</v>
      </c>
      <c r="CH56" s="383">
        <f t="shared" si="283"/>
        <v>11.203103283576928</v>
      </c>
      <c r="CI56" s="383">
        <f t="shared" si="283"/>
        <v>11.182195284274696</v>
      </c>
      <c r="CJ56" s="383">
        <f t="shared" si="283"/>
        <v>11.161140046232576</v>
      </c>
      <c r="CK56" s="383">
        <f t="shared" si="283"/>
        <v>11.139936464491221</v>
      </c>
      <c r="CL56" s="383">
        <f t="shared" si="283"/>
        <v>11.11858342533932</v>
      </c>
      <c r="CM56" s="383">
        <f t="shared" si="283"/>
        <v>11.097079806241034</v>
      </c>
      <c r="CN56" s="383">
        <f t="shared" si="283"/>
        <v>11.075424475762745</v>
      </c>
      <c r="CO56" s="383">
        <f t="shared" si="283"/>
        <v>11.053616293499223</v>
      </c>
      <c r="CP56" s="383">
        <f t="shared" si="283"/>
        <v>11.031654109999142</v>
      </c>
      <c r="CQ56" s="383">
        <f t="shared" si="283"/>
        <v>11.00953676668991</v>
      </c>
      <c r="CR56" s="383">
        <f t="shared" si="283"/>
        <v>10.987263095801911</v>
      </c>
      <c r="CS56" s="383">
        <f t="shared" si="283"/>
        <v>10.964831920292017</v>
      </c>
      <c r="CT56" s="383">
        <f t="shared" si="283"/>
        <v>10.942242053766515</v>
      </c>
      <c r="CU56" s="383">
        <f t="shared" si="283"/>
        <v>10.919492300403288</v>
      </c>
      <c r="CV56" s="383">
        <f t="shared" si="283"/>
        <v>10.896581454873374</v>
      </c>
      <c r="CW56" s="383">
        <f t="shared" si="283"/>
        <v>10.873508302261813</v>
      </c>
      <c r="CX56" s="383">
        <f t="shared" si="283"/>
        <v>10.85027161798781</v>
      </c>
      <c r="CY56" s="383">
        <f t="shared" si="283"/>
        <v>10.826870167724223</v>
      </c>
      <c r="CZ56" s="383">
        <f t="shared" si="283"/>
        <v>10.803302707316314</v>
      </c>
      <c r="DA56" s="383">
        <f t="shared" si="283"/>
        <v>10.779567982699831</v>
      </c>
      <c r="DB56" s="383">
        <f t="shared" si="283"/>
        <v>10.75566472981833</v>
      </c>
      <c r="DC56" s="383">
        <f t="shared" si="283"/>
        <v>10.731591674539834</v>
      </c>
      <c r="DD56" s="383">
        <f t="shared" si="283"/>
        <v>10.707347532572708</v>
      </c>
      <c r="DE56" s="383">
        <f t="shared" si="283"/>
        <v>10.682931009380832</v>
      </c>
      <c r="DF56" s="383">
        <f t="shared" si="283"/>
        <v>10.658340800098019</v>
      </c>
      <c r="DG56" s="383">
        <f t="shared" si="283"/>
        <v>10.633575589441699</v>
      </c>
      <c r="DH56" s="383">
        <f t="shared" si="283"/>
        <v>10.608634051625842</v>
      </c>
      <c r="DI56" s="383">
        <f t="shared" si="283"/>
        <v>10.583514850273101</v>
      </c>
      <c r="DJ56" s="383">
        <f t="shared" si="283"/>
        <v>10.558216638326211</v>
      </c>
      <c r="DK56" s="383">
        <f t="shared" si="283"/>
        <v>10.532738057958609</v>
      </c>
      <c r="DL56" s="383">
        <f t="shared" si="283"/>
        <v>10.507077740484261</v>
      </c>
      <c r="DM56" s="383">
        <f t="shared" si="283"/>
        <v>10.481234306266691</v>
      </c>
      <c r="DN56" s="383">
        <f t="shared" si="283"/>
        <v>10.455206364627243</v>
      </c>
      <c r="DO56" s="383">
        <f t="shared" si="283"/>
        <v>10.428992513752503</v>
      </c>
      <c r="DP56" s="383">
        <f t="shared" si="283"/>
        <v>10.402591340600933</v>
      </c>
      <c r="DQ56" s="383">
        <f t="shared" si="283"/>
        <v>10.376001420808668</v>
      </c>
      <c r="DR56" s="383">
        <f t="shared" si="283"/>
        <v>10.349221318594505</v>
      </c>
    </row>
    <row r="57" spans="2:122" x14ac:dyDescent="0.3">
      <c r="B57" s="382" t="s">
        <v>436</v>
      </c>
      <c r="C57" s="383">
        <f t="shared" si="284"/>
        <v>33.775671885817765</v>
      </c>
      <c r="D57" s="383">
        <f t="shared" ref="D57:BO60" si="285">D23+D35+D47+D11</f>
        <v>33.845715215546782</v>
      </c>
      <c r="E57" s="383">
        <f t="shared" si="285"/>
        <v>33.916106372717145</v>
      </c>
      <c r="F57" s="383">
        <f t="shared" si="285"/>
        <v>33.986847071591455</v>
      </c>
      <c r="G57" s="383">
        <f t="shared" si="285"/>
        <v>34.057939034739988</v>
      </c>
      <c r="H57" s="383">
        <f t="shared" si="285"/>
        <v>34.129383993079351</v>
      </c>
      <c r="I57" s="383">
        <f t="shared" si="285"/>
        <v>34.201183685911353</v>
      </c>
      <c r="J57" s="383">
        <f t="shared" si="285"/>
        <v>34.273339860961968</v>
      </c>
      <c r="K57" s="383">
        <f t="shared" si="285"/>
        <v>34.345854274420496</v>
      </c>
      <c r="L57" s="383">
        <f t="shared" si="285"/>
        <v>34.418728690978909</v>
      </c>
      <c r="M57" s="383">
        <f t="shared" si="285"/>
        <v>34.491964883871319</v>
      </c>
      <c r="N57" s="383">
        <f t="shared" si="285"/>
        <v>34.565564634913606</v>
      </c>
      <c r="O57" s="383">
        <f t="shared" si="285"/>
        <v>34.639529734543238</v>
      </c>
      <c r="P57" s="383">
        <f t="shared" si="285"/>
        <v>34.713861981859282</v>
      </c>
      <c r="Q57" s="383">
        <f t="shared" si="285"/>
        <v>34.788563184662465</v>
      </c>
      <c r="R57" s="383">
        <f t="shared" si="285"/>
        <v>34.863635159495566</v>
      </c>
      <c r="S57" s="383">
        <f t="shared" si="285"/>
        <v>34.939079731683805</v>
      </c>
      <c r="T57" s="383">
        <f t="shared" si="285"/>
        <v>35.014898735375532</v>
      </c>
      <c r="U57" s="383">
        <f t="shared" si="285"/>
        <v>35.091094013583003</v>
      </c>
      <c r="V57" s="383">
        <f t="shared" si="285"/>
        <v>35.167667418223353</v>
      </c>
      <c r="W57" s="383">
        <f t="shared" si="285"/>
        <v>35.244620810159716</v>
      </c>
      <c r="X57" s="383">
        <f t="shared" si="285"/>
        <v>35.321956059242552</v>
      </c>
      <c r="Y57" s="383">
        <f t="shared" si="285"/>
        <v>35.399675044351092</v>
      </c>
      <c r="Z57" s="383">
        <f t="shared" si="285"/>
        <v>35.477779653434986</v>
      </c>
      <c r="AA57" s="383">
        <f t="shared" si="285"/>
        <v>35.556271783556099</v>
      </c>
      <c r="AB57" s="383">
        <f t="shared" si="285"/>
        <v>35.635153340930486</v>
      </c>
      <c r="AC57" s="383">
        <f t="shared" si="285"/>
        <v>35.714426240970553</v>
      </c>
      <c r="AD57" s="383">
        <f t="shared" si="285"/>
        <v>35.794092408327337</v>
      </c>
      <c r="AE57" s="383">
        <f t="shared" si="285"/>
        <v>35.874153776933007</v>
      </c>
      <c r="AF57" s="383">
        <f t="shared" si="285"/>
        <v>35.954612290043521</v>
      </c>
      <c r="AG57" s="383">
        <f t="shared" si="285"/>
        <v>36.03546990028142</v>
      </c>
      <c r="AH57" s="383">
        <f t="shared" si="285"/>
        <v>36.116728569678862</v>
      </c>
      <c r="AI57" s="383">
        <f t="shared" si="285"/>
        <v>36.198390269720768</v>
      </c>
      <c r="AJ57" s="383">
        <f t="shared" si="285"/>
        <v>36.280456981388113</v>
      </c>
      <c r="AK57" s="383">
        <f t="shared" si="285"/>
        <v>36.362930695201527</v>
      </c>
      <c r="AL57" s="383">
        <f t="shared" si="285"/>
        <v>36.445813411264886</v>
      </c>
      <c r="AM57" s="383">
        <f t="shared" si="285"/>
        <v>36.529107139309211</v>
      </c>
      <c r="AN57" s="383">
        <f t="shared" si="285"/>
        <v>36.612813898736697</v>
      </c>
      <c r="AO57" s="383">
        <f t="shared" si="285"/>
        <v>36.696935718664882</v>
      </c>
      <c r="AP57" s="383">
        <f t="shared" si="285"/>
        <v>36.781474637971016</v>
      </c>
      <c r="AQ57" s="383">
        <f t="shared" si="285"/>
        <v>36.866432705336663</v>
      </c>
      <c r="AR57" s="383">
        <f t="shared" si="285"/>
        <v>36.951811979292351</v>
      </c>
      <c r="AS57" s="383">
        <f t="shared" si="285"/>
        <v>37.037614528262488</v>
      </c>
      <c r="AT57" s="383">
        <f t="shared" si="285"/>
        <v>37.123842430610459</v>
      </c>
      <c r="AU57" s="383">
        <f t="shared" si="285"/>
        <v>37.21049777468383</v>
      </c>
      <c r="AV57" s="383">
        <f t="shared" si="285"/>
        <v>37.297582658859781</v>
      </c>
      <c r="AW57" s="383">
        <f t="shared" si="285"/>
        <v>37.385099191590697</v>
      </c>
      <c r="AX57" s="383">
        <f t="shared" si="285"/>
        <v>37.473049491449956</v>
      </c>
      <c r="AY57" s="383">
        <f t="shared" si="285"/>
        <v>37.56143568717782</v>
      </c>
      <c r="AZ57" s="383">
        <f t="shared" si="285"/>
        <v>37.650259917727631</v>
      </c>
      <c r="BA57" s="383">
        <f t="shared" si="285"/>
        <v>37.739524332312023</v>
      </c>
      <c r="BB57" s="383">
        <f t="shared" si="285"/>
        <v>37.829231090449483</v>
      </c>
      <c r="BC57" s="383">
        <f t="shared" si="285"/>
        <v>37.919382362010921</v>
      </c>
      <c r="BD57" s="383">
        <f t="shared" si="285"/>
        <v>38.009980327266547</v>
      </c>
      <c r="BE57" s="383">
        <f t="shared" si="285"/>
        <v>38.101027176932867</v>
      </c>
      <c r="BF57" s="383">
        <f t="shared" si="285"/>
        <v>38.19252511221984</v>
      </c>
      <c r="BG57" s="383">
        <f t="shared" si="285"/>
        <v>38.284476344878264</v>
      </c>
      <c r="BH57" s="383">
        <f t="shared" si="285"/>
        <v>38.376883097247294</v>
      </c>
      <c r="BI57" s="383">
        <f t="shared" si="285"/>
        <v>38.469747602302178</v>
      </c>
      <c r="BJ57" s="383">
        <f t="shared" si="285"/>
        <v>38.563072103702112</v>
      </c>
      <c r="BK57" s="383">
        <f t="shared" si="285"/>
        <v>38.501896305490916</v>
      </c>
      <c r="BL57" s="383">
        <f t="shared" si="285"/>
        <v>38.596147573534992</v>
      </c>
      <c r="BM57" s="383">
        <f t="shared" si="285"/>
        <v>38.690865633487164</v>
      </c>
      <c r="BN57" s="383">
        <f t="shared" si="285"/>
        <v>38.786052772224998</v>
      </c>
      <c r="BO57" s="383">
        <f t="shared" si="285"/>
        <v>38.881711287552186</v>
      </c>
      <c r="BP57" s="383">
        <f t="shared" si="283"/>
        <v>38.977843488247458</v>
      </c>
      <c r="BQ57" s="383">
        <f t="shared" si="283"/>
        <v>39.074451694113776</v>
      </c>
      <c r="BR57" s="383">
        <f t="shared" si="283"/>
        <v>39.171538236027622</v>
      </c>
      <c r="BS57" s="383">
        <f t="shared" si="283"/>
        <v>39.269105455988523</v>
      </c>
      <c r="BT57" s="383">
        <f t="shared" si="283"/>
        <v>39.367155707168685</v>
      </c>
      <c r="BU57" s="383">
        <f t="shared" si="283"/>
        <v>39.465691353962903</v>
      </c>
      <c r="BV57" s="383">
        <f t="shared" si="283"/>
        <v>39.564714772038563</v>
      </c>
      <c r="BW57" s="383">
        <f t="shared" si="283"/>
        <v>34.485887204003731</v>
      </c>
      <c r="BX57" s="383">
        <f t="shared" si="283"/>
        <v>34.585893336986103</v>
      </c>
      <c r="BY57" s="383">
        <f t="shared" si="283"/>
        <v>34.686394436390763</v>
      </c>
      <c r="BZ57" s="383">
        <f t="shared" si="283"/>
        <v>34.787392923479452</v>
      </c>
      <c r="CA57" s="383">
        <f t="shared" si="283"/>
        <v>34.888891231039395</v>
      </c>
      <c r="CB57" s="383">
        <f t="shared" si="283"/>
        <v>34.990891803434401</v>
      </c>
      <c r="CC57" s="383">
        <f t="shared" si="283"/>
        <v>35.093397096656155</v>
      </c>
      <c r="CD57" s="383">
        <f t="shared" si="283"/>
        <v>35.1964095783757</v>
      </c>
      <c r="CE57" s="383">
        <f t="shared" si="283"/>
        <v>35.299931727995059</v>
      </c>
      <c r="CF57" s="383">
        <f t="shared" si="283"/>
        <v>35.403966036699096</v>
      </c>
      <c r="CG57" s="383">
        <f t="shared" si="283"/>
        <v>35.508515007507505</v>
      </c>
      <c r="CH57" s="383">
        <f t="shared" si="283"/>
        <v>35.613581155326983</v>
      </c>
      <c r="CI57" s="383">
        <f t="shared" si="283"/>
        <v>35.719167007003612</v>
      </c>
      <c r="CJ57" s="383">
        <f t="shared" si="283"/>
        <v>35.825275101375425</v>
      </c>
      <c r="CK57" s="383">
        <f t="shared" si="283"/>
        <v>35.931907989325076</v>
      </c>
      <c r="CL57" s="383">
        <f t="shared" si="283"/>
        <v>36.039068233832758</v>
      </c>
      <c r="CM57" s="383">
        <f t="shared" si="283"/>
        <v>36.146758410029321</v>
      </c>
      <c r="CN57" s="383">
        <f t="shared" si="283"/>
        <v>36.254981105249449</v>
      </c>
      <c r="CO57" s="383">
        <f t="shared" si="283"/>
        <v>36.363738919085172</v>
      </c>
      <c r="CP57" s="383">
        <f t="shared" si="283"/>
        <v>36.473034463439426</v>
      </c>
      <c r="CQ57" s="383">
        <f t="shared" si="283"/>
        <v>36.582870362579861</v>
      </c>
      <c r="CR57" s="383">
        <f t="shared" si="283"/>
        <v>36.693249253192789</v>
      </c>
      <c r="CS57" s="383">
        <f t="shared" si="283"/>
        <v>36.804173784437346</v>
      </c>
      <c r="CT57" s="383">
        <f t="shared" si="283"/>
        <v>36.915646617999798</v>
      </c>
      <c r="CU57" s="383">
        <f t="shared" si="283"/>
        <v>37.027670428148021</v>
      </c>
      <c r="CV57" s="383">
        <f t="shared" si="283"/>
        <v>37.140247901786196</v>
      </c>
      <c r="CW57" s="383">
        <f t="shared" si="283"/>
        <v>37.253381738509653</v>
      </c>
      <c r="CX57" s="383">
        <f t="shared" si="283"/>
        <v>37.367074650659838</v>
      </c>
      <c r="CY57" s="383">
        <f t="shared" si="283"/>
        <v>37.481329363379587</v>
      </c>
      <c r="CZ57" s="383">
        <f t="shared" si="283"/>
        <v>37.596148614668429</v>
      </c>
      <c r="DA57" s="383">
        <f t="shared" si="283"/>
        <v>37.71153515543817</v>
      </c>
      <c r="DB57" s="383">
        <f t="shared" si="283"/>
        <v>37.827491749568573</v>
      </c>
      <c r="DC57" s="383">
        <f t="shared" si="283"/>
        <v>37.944021173963272</v>
      </c>
      <c r="DD57" s="383">
        <f t="shared" si="283"/>
        <v>38.061126218605821</v>
      </c>
      <c r="DE57" s="383">
        <f t="shared" si="283"/>
        <v>38.178809686615949</v>
      </c>
      <c r="DF57" s="383">
        <f t="shared" si="283"/>
        <v>38.297074394305916</v>
      </c>
      <c r="DG57" s="383">
        <f t="shared" si="283"/>
        <v>38.415923171237118</v>
      </c>
      <c r="DH57" s="383">
        <f t="shared" si="283"/>
        <v>38.535358860276865</v>
      </c>
      <c r="DI57" s="383">
        <f t="shared" si="283"/>
        <v>38.655384317655226</v>
      </c>
      <c r="DJ57" s="383">
        <f t="shared" si="283"/>
        <v>38.776002413022162</v>
      </c>
      <c r="DK57" s="383">
        <f t="shared" si="283"/>
        <v>38.897216029504762</v>
      </c>
      <c r="DL57" s="383">
        <f t="shared" si="283"/>
        <v>39.019028063764672</v>
      </c>
      <c r="DM57" s="383">
        <f t="shared" si="283"/>
        <v>39.141441426055671</v>
      </c>
      <c r="DN57" s="383">
        <f t="shared" si="283"/>
        <v>39.26445904028143</v>
      </c>
      <c r="DO57" s="383">
        <f t="shared" si="283"/>
        <v>39.388083844053448</v>
      </c>
      <c r="DP57" s="383">
        <f t="shared" si="283"/>
        <v>39.512318788749106</v>
      </c>
      <c r="DQ57" s="383">
        <f t="shared" si="283"/>
        <v>39.637166839569936</v>
      </c>
      <c r="DR57" s="383">
        <f t="shared" si="283"/>
        <v>39.762630975600032</v>
      </c>
    </row>
    <row r="58" spans="2:122" x14ac:dyDescent="0.3">
      <c r="B58" s="382" t="s">
        <v>187</v>
      </c>
      <c r="C58" s="383">
        <f t="shared" si="284"/>
        <v>2892.6362778212365</v>
      </c>
      <c r="D58" s="383">
        <f t="shared" si="285"/>
        <v>2873.9386438626129</v>
      </c>
      <c r="E58" s="383">
        <f t="shared" si="285"/>
        <v>2855.1325564523077</v>
      </c>
      <c r="F58" s="383">
        <f t="shared" si="285"/>
        <v>2836.2173308716456</v>
      </c>
      <c r="G58" s="383">
        <f t="shared" si="285"/>
        <v>2817.1922776184738</v>
      </c>
      <c r="H58" s="383">
        <f t="shared" si="285"/>
        <v>2798.0567023702301</v>
      </c>
      <c r="I58" s="383">
        <f t="shared" si="285"/>
        <v>2778.8099059466981</v>
      </c>
      <c r="J58" s="383">
        <f t="shared" si="285"/>
        <v>2759.4511842724532</v>
      </c>
      <c r="K58" s="383">
        <f t="shared" si="285"/>
        <v>2739.9798283389937</v>
      </c>
      <c r="L58" s="383">
        <f t="shared" si="285"/>
        <v>2720.3951241665536</v>
      </c>
      <c r="M58" s="383">
        <f t="shared" si="285"/>
        <v>2700.6963527655935</v>
      </c>
      <c r="N58" s="383">
        <f t="shared" si="285"/>
        <v>2680.8827900979695</v>
      </c>
      <c r="O58" s="383">
        <f t="shared" si="285"/>
        <v>2660.9537070377746</v>
      </c>
      <c r="P58" s="383">
        <f t="shared" si="285"/>
        <v>2640.9083693318512</v>
      </c>
      <c r="Q58" s="383">
        <f t="shared" si="285"/>
        <v>2620.746037559974</v>
      </c>
      <c r="R58" s="383">
        <f t="shared" si="285"/>
        <v>2600.4659670946903</v>
      </c>
      <c r="S58" s="383">
        <f t="shared" si="285"/>
        <v>2580.0674080608337</v>
      </c>
      <c r="T58" s="383">
        <f t="shared" si="285"/>
        <v>2559.5496052946828</v>
      </c>
      <c r="U58" s="383">
        <f t="shared" si="285"/>
        <v>2538.9117983027886</v>
      </c>
      <c r="V58" s="383">
        <f t="shared" si="285"/>
        <v>2518.1532212204456</v>
      </c>
      <c r="W58" s="383">
        <f t="shared" si="285"/>
        <v>2497.2731027698169</v>
      </c>
      <c r="X58" s="383">
        <f t="shared" si="285"/>
        <v>2476.2706662177061</v>
      </c>
      <c r="Y58" s="383">
        <f t="shared" si="285"/>
        <v>2455.1451293329678</v>
      </c>
      <c r="Z58" s="383">
        <f t="shared" si="285"/>
        <v>2433.8957043435648</v>
      </c>
      <c r="AA58" s="383">
        <f t="shared" si="285"/>
        <v>2412.5215978932579</v>
      </c>
      <c r="AB58" s="383">
        <f t="shared" si="285"/>
        <v>2391.0220109979291</v>
      </c>
      <c r="AC58" s="383">
        <f t="shared" si="285"/>
        <v>2369.3961390015402</v>
      </c>
      <c r="AD58" s="383">
        <f t="shared" si="285"/>
        <v>2347.6431715317112</v>
      </c>
      <c r="AE58" s="383">
        <f t="shared" si="285"/>
        <v>2325.7622924549282</v>
      </c>
      <c r="AF58" s="383">
        <f t="shared" si="285"/>
        <v>2303.7526798313706</v>
      </c>
      <c r="AG58" s="383">
        <f t="shared" si="285"/>
        <v>2281.613505869353</v>
      </c>
      <c r="AH58" s="383">
        <f t="shared" si="285"/>
        <v>2259.3439368793825</v>
      </c>
      <c r="AI58" s="383">
        <f t="shared" si="285"/>
        <v>2236.9431332278273</v>
      </c>
      <c r="AJ58" s="383">
        <f t="shared" si="285"/>
        <v>2214.4102492901907</v>
      </c>
      <c r="AK58" s="383">
        <f t="shared" si="285"/>
        <v>2191.7444334039847</v>
      </c>
      <c r="AL58" s="383">
        <f t="shared" si="285"/>
        <v>2168.9448278212117</v>
      </c>
      <c r="AM58" s="383">
        <f t="shared" si="285"/>
        <v>2146.0105686604343</v>
      </c>
      <c r="AN58" s="383">
        <f t="shared" si="285"/>
        <v>2122.94078585844</v>
      </c>
      <c r="AO58" s="383">
        <f t="shared" si="285"/>
        <v>2099.7346031214979</v>
      </c>
      <c r="AP58" s="383">
        <f t="shared" si="285"/>
        <v>2076.3911378761941</v>
      </c>
      <c r="AQ58" s="383">
        <f t="shared" si="285"/>
        <v>2052.9095012198536</v>
      </c>
      <c r="AR58" s="383">
        <f t="shared" si="285"/>
        <v>2029.2887978705392</v>
      </c>
      <c r="AS58" s="383">
        <f t="shared" si="285"/>
        <v>2005.5281261166206</v>
      </c>
      <c r="AT58" s="383">
        <f t="shared" si="285"/>
        <v>1981.6265777659175</v>
      </c>
      <c r="AU58" s="383">
        <f t="shared" si="285"/>
        <v>1957.583238094408</v>
      </c>
      <c r="AV58" s="383">
        <f t="shared" si="285"/>
        <v>1933.3971857944957</v>
      </c>
      <c r="AW58" s="383">
        <f t="shared" si="285"/>
        <v>1909.0674929228403</v>
      </c>
      <c r="AX58" s="383">
        <f t="shared" si="285"/>
        <v>1884.5932248477386</v>
      </c>
      <c r="AY58" s="383">
        <f t="shared" si="285"/>
        <v>1859.9734401960584</v>
      </c>
      <c r="AZ58" s="383">
        <f t="shared" si="285"/>
        <v>1835.2071907997158</v>
      </c>
      <c r="BA58" s="383">
        <f t="shared" si="285"/>
        <v>1810.2935216416977</v>
      </c>
      <c r="BB58" s="383">
        <f t="shared" si="285"/>
        <v>1785.2314708016193</v>
      </c>
      <c r="BC58" s="383">
        <f t="shared" si="285"/>
        <v>1760.020069400819</v>
      </c>
      <c r="BD58" s="383">
        <f t="shared" si="285"/>
        <v>1734.6583415469802</v>
      </c>
      <c r="BE58" s="383">
        <f t="shared" si="285"/>
        <v>1709.145304278278</v>
      </c>
      <c r="BF58" s="383">
        <f t="shared" si="285"/>
        <v>1683.4799675070512</v>
      </c>
      <c r="BG58" s="383">
        <f t="shared" si="285"/>
        <v>1657.6613339629866</v>
      </c>
      <c r="BH58" s="383">
        <f t="shared" si="285"/>
        <v>1631.6883991358184</v>
      </c>
      <c r="BI58" s="383">
        <f t="shared" si="285"/>
        <v>1605.5601512175342</v>
      </c>
      <c r="BJ58" s="383">
        <f t="shared" si="285"/>
        <v>1579.2755710440867</v>
      </c>
      <c r="BK58" s="383">
        <f t="shared" si="285"/>
        <v>1552.9885945869501</v>
      </c>
      <c r="BL58" s="383">
        <f t="shared" si="285"/>
        <v>1526.5446199057349</v>
      </c>
      <c r="BM58" s="383">
        <f t="shared" si="285"/>
        <v>1499.9426179654859</v>
      </c>
      <c r="BN58" s="383">
        <f t="shared" si="285"/>
        <v>1473.1815522499685</v>
      </c>
      <c r="BO58" s="383">
        <f t="shared" si="285"/>
        <v>1446.2603787018465</v>
      </c>
      <c r="BP58" s="383">
        <f t="shared" si="283"/>
        <v>1419.1780456623451</v>
      </c>
      <c r="BQ58" s="383">
        <f t="shared" si="283"/>
        <v>1391.9334938103941</v>
      </c>
      <c r="BR58" s="383">
        <f t="shared" si="283"/>
        <v>1364.5256561012482</v>
      </c>
      <c r="BS58" s="383">
        <f t="shared" si="283"/>
        <v>1336.9534577045772</v>
      </c>
      <c r="BT58" s="383">
        <f t="shared" si="283"/>
        <v>1309.2158159420242</v>
      </c>
      <c r="BU58" s="383">
        <f t="shared" si="283"/>
        <v>1281.3116402242238</v>
      </c>
      <c r="BV58" s="383">
        <f t="shared" si="283"/>
        <v>1253.2398319872786</v>
      </c>
      <c r="BW58" s="383">
        <f t="shared" si="283"/>
        <v>1230.1776257730685</v>
      </c>
      <c r="BX58" s="383">
        <f t="shared" si="283"/>
        <v>1206.9960545576369</v>
      </c>
      <c r="BY58" s="383">
        <f t="shared" si="283"/>
        <v>1183.6944877328929</v>
      </c>
      <c r="BZ58" s="383">
        <f t="shared" si="283"/>
        <v>1160.2722912561796</v>
      </c>
      <c r="CA58" s="383">
        <f t="shared" si="283"/>
        <v>1136.7288276307554</v>
      </c>
      <c r="CB58" s="383">
        <f t="shared" si="283"/>
        <v>1113.0634558861573</v>
      </c>
      <c r="CC58" s="383">
        <f t="shared" si="283"/>
        <v>1089.2755315584475</v>
      </c>
      <c r="CD58" s="383">
        <f t="shared" si="283"/>
        <v>1065.3644066703403</v>
      </c>
      <c r="CE58" s="383">
        <f t="shared" si="283"/>
        <v>1041.3294297112107</v>
      </c>
      <c r="CF58" s="383">
        <f t="shared" si="283"/>
        <v>1017.1699456169821</v>
      </c>
      <c r="CG58" s="383">
        <f t="shared" si="283"/>
        <v>992.8852957498932</v>
      </c>
      <c r="CH58" s="383">
        <f t="shared" si="283"/>
        <v>968.4748178781432</v>
      </c>
      <c r="CI58" s="383">
        <f t="shared" si="283"/>
        <v>943.93784615541426</v>
      </c>
      <c r="CJ58" s="383">
        <f t="shared" si="283"/>
        <v>919.27371110027138</v>
      </c>
      <c r="CK58" s="383">
        <f t="shared" si="283"/>
        <v>894.48173957543759</v>
      </c>
      <c r="CL58" s="383">
        <f t="shared" si="283"/>
        <v>869.5612547669441</v>
      </c>
      <c r="CM58" s="383">
        <f t="shared" si="283"/>
        <v>844.51157616315584</v>
      </c>
      <c r="CN58" s="383">
        <f t="shared" si="283"/>
        <v>819.33201953366904</v>
      </c>
      <c r="CO58" s="383">
        <f t="shared" si="283"/>
        <v>794.02189690808314</v>
      </c>
      <c r="CP58" s="383">
        <f t="shared" si="283"/>
        <v>768.58051655464283</v>
      </c>
      <c r="CQ58" s="383">
        <f t="shared" si="283"/>
        <v>743.00718295875288</v>
      </c>
      <c r="CR58" s="383">
        <f t="shared" si="283"/>
        <v>717.30119680136204</v>
      </c>
      <c r="CS58" s="383">
        <f t="shared" si="283"/>
        <v>691.46185493721669</v>
      </c>
      <c r="CT58" s="383">
        <f t="shared" si="283"/>
        <v>665.48845037298349</v>
      </c>
      <c r="CU58" s="383">
        <f t="shared" si="283"/>
        <v>639.38027224523876</v>
      </c>
      <c r="CV58" s="383">
        <f t="shared" si="283"/>
        <v>613.13660579832595</v>
      </c>
      <c r="CW58" s="383">
        <f t="shared" si="283"/>
        <v>586.75673236207808</v>
      </c>
      <c r="CX58" s="383">
        <f t="shared" si="283"/>
        <v>560.23992932940598</v>
      </c>
      <c r="CY58" s="383">
        <f t="shared" si="283"/>
        <v>533.58547013375062</v>
      </c>
      <c r="CZ58" s="383">
        <f t="shared" si="283"/>
        <v>506.79262422639852</v>
      </c>
      <c r="DA58" s="383">
        <f t="shared" si="283"/>
        <v>479.86065705366013</v>
      </c>
      <c r="DB58" s="383">
        <f t="shared" si="283"/>
        <v>452.7888300339099</v>
      </c>
      <c r="DC58" s="383">
        <f t="shared" si="283"/>
        <v>425.57640053448648</v>
      </c>
      <c r="DD58" s="383">
        <f t="shared" si="283"/>
        <v>398.22262184845334</v>
      </c>
      <c r="DE58" s="383">
        <f t="shared" si="283"/>
        <v>370.72674317121817</v>
      </c>
      <c r="DF58" s="383">
        <f t="shared" si="283"/>
        <v>343.08800957701033</v>
      </c>
      <c r="DG58" s="383">
        <f t="shared" si="283"/>
        <v>315.3056619952149</v>
      </c>
      <c r="DH58" s="383">
        <f t="shared" si="283"/>
        <v>287.37893718656386</v>
      </c>
      <c r="DI58" s="383">
        <f t="shared" si="283"/>
        <v>259.30706771918176</v>
      </c>
      <c r="DJ58" s="383">
        <f t="shared" si="283"/>
        <v>231.08928194448583</v>
      </c>
      <c r="DK58" s="383">
        <f t="shared" si="283"/>
        <v>202.72480397293967</v>
      </c>
      <c r="DL58" s="383">
        <f t="shared" si="283"/>
        <v>174.21285364965922</v>
      </c>
      <c r="DM58" s="383">
        <f t="shared" si="283"/>
        <v>145.55264652987023</v>
      </c>
      <c r="DN58" s="383">
        <f t="shared" si="283"/>
        <v>116.74339385421604</v>
      </c>
      <c r="DO58" s="383">
        <f t="shared" si="283"/>
        <v>87.784302523915088</v>
      </c>
      <c r="DP58" s="383">
        <f t="shared" si="283"/>
        <v>58.674575075766917</v>
      </c>
      <c r="DQ58" s="383">
        <f t="shared" si="283"/>
        <v>29.413409657005644</v>
      </c>
      <c r="DR58" s="383">
        <f t="shared" si="283"/>
        <v>1.1435297153639112E-13</v>
      </c>
    </row>
    <row r="59" spans="2:122" x14ac:dyDescent="0.3">
      <c r="B59" s="382" t="s">
        <v>437</v>
      </c>
      <c r="C59" s="383">
        <f t="shared" si="284"/>
        <v>231.68257078346201</v>
      </c>
      <c r="D59" s="383">
        <f t="shared" si="285"/>
        <v>233.03027453076163</v>
      </c>
      <c r="E59" s="383">
        <f t="shared" si="285"/>
        <v>234.38651889233353</v>
      </c>
      <c r="F59" s="383">
        <f t="shared" si="285"/>
        <v>235.75136377695429</v>
      </c>
      <c r="G59" s="383">
        <f t="shared" si="285"/>
        <v>237.12486955763993</v>
      </c>
      <c r="H59" s="383">
        <f t="shared" si="285"/>
        <v>238.50709707554708</v>
      </c>
      <c r="I59" s="383">
        <f t="shared" si="285"/>
        <v>239.89810764390921</v>
      </c>
      <c r="J59" s="383">
        <f t="shared" si="285"/>
        <v>241.29796305200725</v>
      </c>
      <c r="K59" s="383">
        <f t="shared" si="285"/>
        <v>242.70672556917629</v>
      </c>
      <c r="L59" s="383">
        <f t="shared" si="285"/>
        <v>244.12445794884738</v>
      </c>
      <c r="M59" s="383">
        <f t="shared" si="285"/>
        <v>245.55122343262551</v>
      </c>
      <c r="N59" s="383">
        <f t="shared" si="285"/>
        <v>246.98708575440423</v>
      </c>
      <c r="O59" s="383">
        <f t="shared" si="285"/>
        <v>248.43210914451623</v>
      </c>
      <c r="P59" s="383">
        <f t="shared" si="285"/>
        <v>249.88635833392169</v>
      </c>
      <c r="Q59" s="383">
        <f t="shared" si="285"/>
        <v>251.34989855843335</v>
      </c>
      <c r="R59" s="383">
        <f t="shared" si="285"/>
        <v>252.82279556297954</v>
      </c>
      <c r="S59" s="383">
        <f t="shared" si="285"/>
        <v>254.30511560590537</v>
      </c>
      <c r="T59" s="383">
        <f t="shared" si="285"/>
        <v>255.79692546331228</v>
      </c>
      <c r="U59" s="383">
        <f t="shared" si="285"/>
        <v>257.29829243343568</v>
      </c>
      <c r="V59" s="383">
        <f t="shared" si="285"/>
        <v>258.80928434106289</v>
      </c>
      <c r="W59" s="383">
        <f t="shared" si="285"/>
        <v>260.32996954198944</v>
      </c>
      <c r="X59" s="383">
        <f t="shared" si="285"/>
        <v>261.86041692751547</v>
      </c>
      <c r="Y59" s="383">
        <f t="shared" si="285"/>
        <v>263.40069592898317</v>
      </c>
      <c r="Z59" s="383">
        <f t="shared" si="285"/>
        <v>264.95087652235321</v>
      </c>
      <c r="AA59" s="383">
        <f t="shared" si="285"/>
        <v>266.51102923282366</v>
      </c>
      <c r="AB59" s="383">
        <f t="shared" si="285"/>
        <v>268.08122513948916</v>
      </c>
      <c r="AC59" s="383">
        <f t="shared" si="285"/>
        <v>269.66153588004244</v>
      </c>
      <c r="AD59" s="383">
        <f t="shared" si="285"/>
        <v>271.25203365551727</v>
      </c>
      <c r="AE59" s="383">
        <f t="shared" si="285"/>
        <v>272.85279123507473</v>
      </c>
      <c r="AF59" s="383">
        <f t="shared" si="285"/>
        <v>274.46388196083166</v>
      </c>
      <c r="AG59" s="383">
        <f t="shared" si="285"/>
        <v>276.08537975273242</v>
      </c>
      <c r="AH59" s="383">
        <f t="shared" si="285"/>
        <v>277.71735911346474</v>
      </c>
      <c r="AI59" s="383">
        <f t="shared" si="285"/>
        <v>279.35989513341963</v>
      </c>
      <c r="AJ59" s="383">
        <f t="shared" si="285"/>
        <v>281.01306349569478</v>
      </c>
      <c r="AK59" s="383">
        <f t="shared" si="285"/>
        <v>282.67694048114436</v>
      </c>
      <c r="AL59" s="383">
        <f t="shared" si="285"/>
        <v>284.35160297347295</v>
      </c>
      <c r="AM59" s="383">
        <f t="shared" si="285"/>
        <v>286.0371284643756</v>
      </c>
      <c r="AN59" s="383">
        <f t="shared" si="285"/>
        <v>287.73359505872418</v>
      </c>
      <c r="AO59" s="383">
        <f t="shared" si="285"/>
        <v>289.44108147980018</v>
      </c>
      <c r="AP59" s="383">
        <f t="shared" si="285"/>
        <v>291.15966707457449</v>
      </c>
      <c r="AQ59" s="383">
        <f t="shared" si="285"/>
        <v>292.88943181903443</v>
      </c>
      <c r="AR59" s="383">
        <f t="shared" si="285"/>
        <v>294.63045632355903</v>
      </c>
      <c r="AS59" s="383">
        <f t="shared" si="285"/>
        <v>296.38282183834252</v>
      </c>
      <c r="AT59" s="383">
        <f t="shared" si="285"/>
        <v>298.14661025886642</v>
      </c>
      <c r="AU59" s="383">
        <f t="shared" si="285"/>
        <v>299.92190413142123</v>
      </c>
      <c r="AV59" s="383">
        <f t="shared" si="285"/>
        <v>301.70878665867724</v>
      </c>
      <c r="AW59" s="383">
        <f t="shared" si="285"/>
        <v>303.50734170530586</v>
      </c>
      <c r="AX59" s="383">
        <f t="shared" si="285"/>
        <v>305.31765380365187</v>
      </c>
      <c r="AY59" s="383">
        <f t="shared" si="285"/>
        <v>306.98484560910839</v>
      </c>
      <c r="AZ59" s="383">
        <f t="shared" si="285"/>
        <v>308.66257089398107</v>
      </c>
      <c r="BA59" s="383">
        <f t="shared" si="285"/>
        <v>310.35090367621177</v>
      </c>
      <c r="BB59" s="383">
        <f t="shared" si="285"/>
        <v>312.04991855165082</v>
      </c>
      <c r="BC59" s="383">
        <f t="shared" si="285"/>
        <v>313.75969069897258</v>
      </c>
      <c r="BD59" s="383">
        <f t="shared" si="285"/>
        <v>315.48029588463487</v>
      </c>
      <c r="BE59" s="383">
        <f t="shared" si="285"/>
        <v>317.21181046788377</v>
      </c>
      <c r="BF59" s="383">
        <f t="shared" si="285"/>
        <v>318.95431140580297</v>
      </c>
      <c r="BG59" s="383">
        <f t="shared" si="285"/>
        <v>320.70787625840927</v>
      </c>
      <c r="BH59" s="383">
        <f t="shared" si="285"/>
        <v>322.47258319379398</v>
      </c>
      <c r="BI59" s="383">
        <f t="shared" si="285"/>
        <v>324.24851099331022</v>
      </c>
      <c r="BJ59" s="383">
        <f t="shared" si="285"/>
        <v>326.03573905680804</v>
      </c>
      <c r="BK59" s="383">
        <f t="shared" si="285"/>
        <v>322.81096881388146</v>
      </c>
      <c r="BL59" s="383">
        <f t="shared" si="285"/>
        <v>319.54856534809807</v>
      </c>
      <c r="BM59" s="383">
        <f t="shared" si="285"/>
        <v>316.24813023259304</v>
      </c>
      <c r="BN59" s="383">
        <f t="shared" si="285"/>
        <v>312.90926099378885</v>
      </c>
      <c r="BO59" s="383">
        <f t="shared" si="285"/>
        <v>309.53155107109103</v>
      </c>
      <c r="BP59" s="383">
        <f t="shared" si="283"/>
        <v>306.11458977618764</v>
      </c>
      <c r="BQ59" s="383">
        <f t="shared" si="283"/>
        <v>302.65796225194657</v>
      </c>
      <c r="BR59" s="383">
        <f t="shared" si="283"/>
        <v>299.16124943090801</v>
      </c>
      <c r="BS59" s="383">
        <f t="shared" si="283"/>
        <v>295.62402799336672</v>
      </c>
      <c r="BT59" s="383">
        <f t="shared" si="283"/>
        <v>292.04587032504224</v>
      </c>
      <c r="BU59" s="383">
        <f t="shared" si="283"/>
        <v>288.42634447433079</v>
      </c>
      <c r="BV59" s="383">
        <f t="shared" si="283"/>
        <v>284.76501410913562</v>
      </c>
      <c r="BW59" s="383">
        <f t="shared" si="283"/>
        <v>286.23977961765434</v>
      </c>
      <c r="BX59" s="383">
        <f t="shared" si="283"/>
        <v>287.72234345736547</v>
      </c>
      <c r="BY59" s="383">
        <f t="shared" si="283"/>
        <v>289.21274815745528</v>
      </c>
      <c r="BZ59" s="383">
        <f t="shared" si="283"/>
        <v>290.7110364892356</v>
      </c>
      <c r="CA59" s="383">
        <f t="shared" si="283"/>
        <v>292.21725146759979</v>
      </c>
      <c r="CB59" s="383">
        <f t="shared" si="283"/>
        <v>293.7314363524884</v>
      </c>
      <c r="CC59" s="383">
        <f t="shared" si="283"/>
        <v>295.25363465036446</v>
      </c>
      <c r="CD59" s="383">
        <f t="shared" si="283"/>
        <v>296.78389011569743</v>
      </c>
      <c r="CE59" s="383">
        <f t="shared" si="283"/>
        <v>298.32224675245772</v>
      </c>
      <c r="CF59" s="383">
        <f t="shared" si="283"/>
        <v>299.86874881562005</v>
      </c>
      <c r="CG59" s="383">
        <f t="shared" si="283"/>
        <v>301.42344081267652</v>
      </c>
      <c r="CH59" s="383">
        <f t="shared" si="283"/>
        <v>302.98636750515976</v>
      </c>
      <c r="CI59" s="383">
        <f t="shared" si="283"/>
        <v>304.55757391017551</v>
      </c>
      <c r="CJ59" s="383">
        <f t="shared" si="283"/>
        <v>306.13710530194555</v>
      </c>
      <c r="CK59" s="383">
        <f t="shared" si="283"/>
        <v>307.7250072133595</v>
      </c>
      <c r="CL59" s="383">
        <f t="shared" si="283"/>
        <v>309.32132543753812</v>
      </c>
      <c r="CM59" s="383">
        <f t="shared" si="283"/>
        <v>310.92610602940516</v>
      </c>
      <c r="CN59" s="383">
        <f t="shared" si="283"/>
        <v>312.53939530727058</v>
      </c>
      <c r="CO59" s="383">
        <f t="shared" si="283"/>
        <v>314.161239854423</v>
      </c>
      <c r="CP59" s="383">
        <f t="shared" si="283"/>
        <v>315.79168652073298</v>
      </c>
      <c r="CQ59" s="383">
        <f t="shared" si="283"/>
        <v>317.4307824242664</v>
      </c>
      <c r="CR59" s="383">
        <f t="shared" si="283"/>
        <v>319.07857495290864</v>
      </c>
      <c r="CS59" s="383">
        <f t="shared" si="283"/>
        <v>320.73511176599845</v>
      </c>
      <c r="CT59" s="383">
        <f t="shared" si="283"/>
        <v>322.40044079597305</v>
      </c>
      <c r="CU59" s="383">
        <f t="shared" si="283"/>
        <v>324.0746102500238</v>
      </c>
      <c r="CV59" s="383">
        <f t="shared" si="283"/>
        <v>325.75766861176203</v>
      </c>
      <c r="CW59" s="383">
        <f t="shared" si="283"/>
        <v>327.44966464289627</v>
      </c>
      <c r="CX59" s="383">
        <f t="shared" si="283"/>
        <v>329.15064738492021</v>
      </c>
      <c r="CY59" s="383">
        <f t="shared" ref="CY59:DR59" si="286">CY25+CY37+CY49+CY13</f>
        <v>330.86066616081098</v>
      </c>
      <c r="CZ59" s="383">
        <f t="shared" si="286"/>
        <v>332.57977057673924</v>
      </c>
      <c r="DA59" s="383">
        <f t="shared" si="286"/>
        <v>334.3080105237899</v>
      </c>
      <c r="DB59" s="383">
        <f t="shared" si="286"/>
        <v>336.04543617969387</v>
      </c>
      <c r="DC59" s="383">
        <f t="shared" si="286"/>
        <v>337.79209801057141</v>
      </c>
      <c r="DD59" s="383">
        <f t="shared" si="286"/>
        <v>339.5480467726864</v>
      </c>
      <c r="DE59" s="383">
        <f t="shared" si="286"/>
        <v>341.31333351421256</v>
      </c>
      <c r="DF59" s="383">
        <f t="shared" si="286"/>
        <v>343.08800957701021</v>
      </c>
      <c r="DG59" s="383">
        <f t="shared" si="286"/>
        <v>315.30566199521485</v>
      </c>
      <c r="DH59" s="383">
        <f t="shared" si="286"/>
        <v>287.3789371865638</v>
      </c>
      <c r="DI59" s="383">
        <f t="shared" si="286"/>
        <v>259.30706771918165</v>
      </c>
      <c r="DJ59" s="383">
        <f t="shared" si="286"/>
        <v>231.08928194448566</v>
      </c>
      <c r="DK59" s="383">
        <f t="shared" si="286"/>
        <v>202.72480397293953</v>
      </c>
      <c r="DL59" s="383">
        <f t="shared" si="286"/>
        <v>174.21285364965911</v>
      </c>
      <c r="DM59" s="383">
        <f t="shared" si="286"/>
        <v>145.55264652987012</v>
      </c>
      <c r="DN59" s="383">
        <f t="shared" si="286"/>
        <v>116.74339385421592</v>
      </c>
      <c r="DO59" s="383">
        <f t="shared" si="286"/>
        <v>87.784302523914974</v>
      </c>
      <c r="DP59" s="383">
        <f t="shared" si="286"/>
        <v>58.674575075766803</v>
      </c>
      <c r="DQ59" s="383">
        <f t="shared" si="286"/>
        <v>29.413409657005531</v>
      </c>
      <c r="DR59" s="383">
        <f t="shared" si="286"/>
        <v>0</v>
      </c>
    </row>
    <row r="60" spans="2:122" x14ac:dyDescent="0.3">
      <c r="B60" s="382" t="s">
        <v>438</v>
      </c>
      <c r="C60" s="383">
        <f t="shared" si="284"/>
        <v>2660.9537070377742</v>
      </c>
      <c r="D60" s="383">
        <f t="shared" si="285"/>
        <v>2640.9083693318512</v>
      </c>
      <c r="E60" s="383">
        <f t="shared" si="285"/>
        <v>2620.7460375599744</v>
      </c>
      <c r="F60" s="383">
        <f t="shared" si="285"/>
        <v>2600.4659670946908</v>
      </c>
      <c r="G60" s="383">
        <f t="shared" si="285"/>
        <v>2580.0674080608342</v>
      </c>
      <c r="H60" s="383">
        <f t="shared" si="285"/>
        <v>2559.5496052946833</v>
      </c>
      <c r="I60" s="383">
        <f t="shared" si="285"/>
        <v>2538.9117983027891</v>
      </c>
      <c r="J60" s="383">
        <f t="shared" si="285"/>
        <v>2518.1532212204461</v>
      </c>
      <c r="K60" s="383">
        <f t="shared" si="285"/>
        <v>2497.2731027698173</v>
      </c>
      <c r="L60" s="383">
        <f t="shared" si="285"/>
        <v>2476.2706662177061</v>
      </c>
      <c r="M60" s="383">
        <f t="shared" si="285"/>
        <v>2455.1451293329683</v>
      </c>
      <c r="N60" s="383">
        <f t="shared" si="285"/>
        <v>2433.8957043435653</v>
      </c>
      <c r="O60" s="383">
        <f t="shared" si="285"/>
        <v>2412.5215978932583</v>
      </c>
      <c r="P60" s="383">
        <f t="shared" si="285"/>
        <v>2391.0220109979291</v>
      </c>
      <c r="Q60" s="383">
        <f t="shared" si="285"/>
        <v>2369.3961390015406</v>
      </c>
      <c r="R60" s="383">
        <f t="shared" si="285"/>
        <v>2347.6431715317112</v>
      </c>
      <c r="S60" s="383">
        <f t="shared" si="285"/>
        <v>2325.7622924549282</v>
      </c>
      <c r="T60" s="383">
        <f t="shared" si="285"/>
        <v>2303.7526798313702</v>
      </c>
      <c r="U60" s="383">
        <f t="shared" si="285"/>
        <v>2281.6135058693526</v>
      </c>
      <c r="V60" s="383">
        <f t="shared" si="285"/>
        <v>2259.3439368793825</v>
      </c>
      <c r="W60" s="383">
        <f t="shared" si="285"/>
        <v>2236.9431332278273</v>
      </c>
      <c r="X60" s="383">
        <f t="shared" si="285"/>
        <v>2214.4102492901902</v>
      </c>
      <c r="Y60" s="383">
        <f t="shared" si="285"/>
        <v>2191.7444334039851</v>
      </c>
      <c r="Z60" s="383">
        <f t="shared" si="285"/>
        <v>2168.9448278212117</v>
      </c>
      <c r="AA60" s="383">
        <f t="shared" si="285"/>
        <v>2146.0105686604343</v>
      </c>
      <c r="AB60" s="383">
        <f t="shared" si="285"/>
        <v>2122.94078585844</v>
      </c>
      <c r="AC60" s="383">
        <f t="shared" si="285"/>
        <v>2099.7346031214975</v>
      </c>
      <c r="AD60" s="383">
        <f t="shared" si="285"/>
        <v>2076.3911378761936</v>
      </c>
      <c r="AE60" s="383">
        <f t="shared" si="285"/>
        <v>2052.9095012198536</v>
      </c>
      <c r="AF60" s="383">
        <f t="shared" si="285"/>
        <v>2029.2887978705389</v>
      </c>
      <c r="AG60" s="383">
        <f t="shared" si="285"/>
        <v>2005.5281261166206</v>
      </c>
      <c r="AH60" s="383">
        <f t="shared" si="285"/>
        <v>1981.6265777659175</v>
      </c>
      <c r="AI60" s="383">
        <f t="shared" si="285"/>
        <v>1957.5832380944082</v>
      </c>
      <c r="AJ60" s="383">
        <f t="shared" si="285"/>
        <v>1933.3971857944957</v>
      </c>
      <c r="AK60" s="383">
        <f t="shared" si="285"/>
        <v>1909.0674929228401</v>
      </c>
      <c r="AL60" s="383">
        <f t="shared" si="285"/>
        <v>1884.5932248477384</v>
      </c>
      <c r="AM60" s="383">
        <f t="shared" si="285"/>
        <v>1859.9734401960584</v>
      </c>
      <c r="AN60" s="383">
        <f t="shared" si="285"/>
        <v>1835.2071907997158</v>
      </c>
      <c r="AO60" s="383">
        <f t="shared" si="285"/>
        <v>1810.2935216416979</v>
      </c>
      <c r="AP60" s="383">
        <f t="shared" si="285"/>
        <v>1785.2314708016195</v>
      </c>
      <c r="AQ60" s="383">
        <f t="shared" si="285"/>
        <v>1760.0200694008192</v>
      </c>
      <c r="AR60" s="383">
        <f t="shared" si="285"/>
        <v>1734.6583415469802</v>
      </c>
      <c r="AS60" s="383">
        <f t="shared" si="285"/>
        <v>1709.145304278278</v>
      </c>
      <c r="AT60" s="383">
        <f t="shared" si="285"/>
        <v>1683.4799675070512</v>
      </c>
      <c r="AU60" s="383">
        <f t="shared" si="285"/>
        <v>1657.6613339629864</v>
      </c>
      <c r="AV60" s="383">
        <f t="shared" si="285"/>
        <v>1631.6883991358181</v>
      </c>
      <c r="AW60" s="383">
        <f t="shared" si="285"/>
        <v>1605.5601512175344</v>
      </c>
      <c r="AX60" s="383">
        <f t="shared" si="285"/>
        <v>1579.275571044087</v>
      </c>
      <c r="AY60" s="383">
        <f t="shared" si="285"/>
        <v>1552.9885945869501</v>
      </c>
      <c r="AZ60" s="383">
        <f t="shared" si="285"/>
        <v>1526.5446199057349</v>
      </c>
      <c r="BA60" s="383">
        <f t="shared" si="285"/>
        <v>1499.9426179654859</v>
      </c>
      <c r="BB60" s="383">
        <f t="shared" si="285"/>
        <v>1473.1815522499685</v>
      </c>
      <c r="BC60" s="383">
        <f t="shared" si="285"/>
        <v>1446.2603787018465</v>
      </c>
      <c r="BD60" s="383">
        <f t="shared" si="285"/>
        <v>1419.1780456623453</v>
      </c>
      <c r="BE60" s="383">
        <f t="shared" si="285"/>
        <v>1391.9334938103943</v>
      </c>
      <c r="BF60" s="383">
        <f t="shared" si="285"/>
        <v>1364.5256561012484</v>
      </c>
      <c r="BG60" s="383">
        <f t="shared" si="285"/>
        <v>1336.9534577045774</v>
      </c>
      <c r="BH60" s="383">
        <f t="shared" si="285"/>
        <v>1309.2158159420244</v>
      </c>
      <c r="BI60" s="383">
        <f t="shared" si="285"/>
        <v>1281.311640224224</v>
      </c>
      <c r="BJ60" s="383">
        <f t="shared" si="285"/>
        <v>1253.2398319872789</v>
      </c>
      <c r="BK60" s="383">
        <f t="shared" si="285"/>
        <v>1230.1776257730685</v>
      </c>
      <c r="BL60" s="383">
        <f t="shared" si="285"/>
        <v>1206.9960545576369</v>
      </c>
      <c r="BM60" s="383">
        <f t="shared" si="285"/>
        <v>1183.6944877328929</v>
      </c>
      <c r="BN60" s="383">
        <f t="shared" si="285"/>
        <v>1160.2722912561799</v>
      </c>
      <c r="BO60" s="383">
        <f t="shared" ref="BO60:DR60" si="287">BO26+BO38+BO50+BO14</f>
        <v>1136.7288276307556</v>
      </c>
      <c r="BP60" s="383">
        <f t="shared" si="287"/>
        <v>1113.0634558861573</v>
      </c>
      <c r="BQ60" s="383">
        <f t="shared" si="287"/>
        <v>1089.2755315584475</v>
      </c>
      <c r="BR60" s="383">
        <f t="shared" si="287"/>
        <v>1065.3644066703403</v>
      </c>
      <c r="BS60" s="383">
        <f t="shared" si="287"/>
        <v>1041.3294297112107</v>
      </c>
      <c r="BT60" s="383">
        <f t="shared" si="287"/>
        <v>1017.169945616982</v>
      </c>
      <c r="BU60" s="383">
        <f t="shared" si="287"/>
        <v>992.88529574989298</v>
      </c>
      <c r="BV60" s="383">
        <f t="shared" si="287"/>
        <v>968.47481787814297</v>
      </c>
      <c r="BW60" s="383">
        <f t="shared" si="287"/>
        <v>943.93784615541426</v>
      </c>
      <c r="BX60" s="383">
        <f t="shared" si="287"/>
        <v>919.27371110027138</v>
      </c>
      <c r="BY60" s="383">
        <f t="shared" si="287"/>
        <v>894.48173957543759</v>
      </c>
      <c r="BZ60" s="383">
        <f t="shared" si="287"/>
        <v>869.56125476694399</v>
      </c>
      <c r="CA60" s="383">
        <f t="shared" si="287"/>
        <v>844.51157616315572</v>
      </c>
      <c r="CB60" s="383">
        <f t="shared" si="287"/>
        <v>819.33201953366893</v>
      </c>
      <c r="CC60" s="383">
        <f t="shared" si="287"/>
        <v>794.02189690808302</v>
      </c>
      <c r="CD60" s="383">
        <f t="shared" si="287"/>
        <v>768.58051655464294</v>
      </c>
      <c r="CE60" s="383">
        <f t="shared" si="287"/>
        <v>743.00718295875299</v>
      </c>
      <c r="CF60" s="383">
        <f t="shared" si="287"/>
        <v>717.30119680136193</v>
      </c>
      <c r="CG60" s="383">
        <f t="shared" si="287"/>
        <v>691.46185493721669</v>
      </c>
      <c r="CH60" s="383">
        <f t="shared" si="287"/>
        <v>665.48845037298349</v>
      </c>
      <c r="CI60" s="383">
        <f t="shared" si="287"/>
        <v>639.38027224523876</v>
      </c>
      <c r="CJ60" s="383">
        <f t="shared" si="287"/>
        <v>613.13660579832595</v>
      </c>
      <c r="CK60" s="383">
        <f t="shared" si="287"/>
        <v>586.75673236207808</v>
      </c>
      <c r="CL60" s="383">
        <f t="shared" si="287"/>
        <v>560.23992932940598</v>
      </c>
      <c r="CM60" s="383">
        <f t="shared" si="287"/>
        <v>533.58547013375062</v>
      </c>
      <c r="CN60" s="383">
        <f t="shared" si="287"/>
        <v>506.79262422639852</v>
      </c>
      <c r="CO60" s="383">
        <f t="shared" si="287"/>
        <v>479.86065705366008</v>
      </c>
      <c r="CP60" s="383">
        <f t="shared" si="287"/>
        <v>452.78883003390979</v>
      </c>
      <c r="CQ60" s="383">
        <f t="shared" si="287"/>
        <v>425.57640053448642</v>
      </c>
      <c r="CR60" s="383">
        <f t="shared" si="287"/>
        <v>398.22262184845334</v>
      </c>
      <c r="CS60" s="383">
        <f t="shared" si="287"/>
        <v>370.72674317121823</v>
      </c>
      <c r="CT60" s="383">
        <f t="shared" si="287"/>
        <v>343.08800957701044</v>
      </c>
      <c r="CU60" s="383">
        <f t="shared" si="287"/>
        <v>315.3056619952149</v>
      </c>
      <c r="CV60" s="383">
        <f t="shared" si="287"/>
        <v>287.37893718656392</v>
      </c>
      <c r="CW60" s="383">
        <f t="shared" si="287"/>
        <v>259.30706771918182</v>
      </c>
      <c r="CX60" s="383">
        <f t="shared" si="287"/>
        <v>231.08928194448583</v>
      </c>
      <c r="CY60" s="383">
        <f t="shared" si="287"/>
        <v>202.7248039729397</v>
      </c>
      <c r="CZ60" s="383">
        <f t="shared" si="287"/>
        <v>174.21285364965934</v>
      </c>
      <c r="DA60" s="383">
        <f t="shared" si="287"/>
        <v>145.55264652987026</v>
      </c>
      <c r="DB60" s="383">
        <f t="shared" si="287"/>
        <v>116.74339385421607</v>
      </c>
      <c r="DC60" s="383">
        <f t="shared" si="287"/>
        <v>87.78430252391513</v>
      </c>
      <c r="DD60" s="383">
        <f t="shared" si="287"/>
        <v>58.674575075766981</v>
      </c>
      <c r="DE60" s="383">
        <f t="shared" si="287"/>
        <v>29.413409657005701</v>
      </c>
      <c r="DF60" s="383">
        <f t="shared" si="287"/>
        <v>1.3855583347321954E-13</v>
      </c>
      <c r="DG60" s="383">
        <f t="shared" si="287"/>
        <v>8.5265128291212022E-14</v>
      </c>
      <c r="DH60" s="383">
        <f t="shared" si="287"/>
        <v>1.4210854715202004E-13</v>
      </c>
      <c r="DI60" s="383">
        <f t="shared" si="287"/>
        <v>1.7053025658242404E-13</v>
      </c>
      <c r="DJ60" s="383">
        <f t="shared" si="287"/>
        <v>1.9895196601282805E-13</v>
      </c>
      <c r="DK60" s="383">
        <f t="shared" si="287"/>
        <v>1.6875389974302379E-13</v>
      </c>
      <c r="DL60" s="383">
        <f t="shared" si="287"/>
        <v>1.6697754290362354E-13</v>
      </c>
      <c r="DM60" s="383">
        <f t="shared" si="287"/>
        <v>1.3855583347321954E-13</v>
      </c>
      <c r="DN60" s="383">
        <f t="shared" si="287"/>
        <v>1.5276668818842154E-13</v>
      </c>
      <c r="DO60" s="383">
        <f t="shared" si="287"/>
        <v>1.5276668818842154E-13</v>
      </c>
      <c r="DP60" s="383">
        <f t="shared" si="287"/>
        <v>1.5232259897857148E-13</v>
      </c>
      <c r="DQ60" s="383">
        <f t="shared" si="287"/>
        <v>1.5254464358349651E-13</v>
      </c>
      <c r="DR60" s="383">
        <f t="shared" si="287"/>
        <v>1.5254464358349651E-13</v>
      </c>
    </row>
    <row r="61" spans="2:122" x14ac:dyDescent="0.3"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5"/>
      <c r="BC61" s="385"/>
      <c r="BD61" s="385"/>
      <c r="BE61" s="385"/>
      <c r="BF61" s="385"/>
      <c r="BG61" s="385"/>
      <c r="BH61" s="385"/>
      <c r="BI61" s="385"/>
      <c r="BJ61" s="385"/>
    </row>
    <row r="62" spans="2:122" x14ac:dyDescent="0.3">
      <c r="B62" s="181" t="s">
        <v>440</v>
      </c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</row>
    <row r="63" spans="2:122" x14ac:dyDescent="0.3"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</row>
    <row r="64" spans="2:122" x14ac:dyDescent="0.3">
      <c r="B64" s="378" t="s">
        <v>442</v>
      </c>
      <c r="C64" s="377" t="s">
        <v>138</v>
      </c>
      <c r="D64" s="377" t="s">
        <v>139</v>
      </c>
      <c r="E64" s="377" t="s">
        <v>140</v>
      </c>
      <c r="F64" s="377" t="s">
        <v>141</v>
      </c>
      <c r="G64" s="377" t="s">
        <v>142</v>
      </c>
      <c r="H64" s="377" t="s">
        <v>443</v>
      </c>
      <c r="I64" s="377" t="s">
        <v>444</v>
      </c>
      <c r="J64" s="377" t="s">
        <v>445</v>
      </c>
      <c r="K64" s="377" t="s">
        <v>446</v>
      </c>
      <c r="L64" s="377" t="s">
        <v>447</v>
      </c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  <c r="AJ64" s="385"/>
      <c r="AK64" s="385"/>
      <c r="AL64" s="385"/>
      <c r="AM64" s="385"/>
      <c r="AN64" s="385"/>
      <c r="AO64" s="385"/>
      <c r="AP64" s="385"/>
      <c r="AQ64" s="385"/>
      <c r="AR64" s="385"/>
      <c r="AS64" s="385"/>
      <c r="AT64" s="385"/>
      <c r="AU64" s="385"/>
      <c r="AV64" s="385"/>
      <c r="AW64" s="385"/>
      <c r="AX64" s="385"/>
      <c r="AY64" s="385"/>
      <c r="AZ64" s="385"/>
      <c r="BA64" s="385"/>
      <c r="BB64" s="385"/>
      <c r="BC64" s="385"/>
      <c r="BD64" s="385"/>
      <c r="BE64" s="385"/>
      <c r="BF64" s="385"/>
      <c r="BG64" s="385"/>
      <c r="BH64" s="385"/>
      <c r="BI64" s="385"/>
      <c r="BJ64" s="385"/>
    </row>
    <row r="65" spans="2:62" x14ac:dyDescent="0.3">
      <c r="B65" s="382" t="s">
        <v>434</v>
      </c>
      <c r="C65" s="383">
        <f>SUM(C55:N55)</f>
        <v>230.34334820203043</v>
      </c>
      <c r="D65" s="383">
        <f>SUM(O55:Z55)</f>
        <v>246.98708575440421</v>
      </c>
      <c r="E65" s="383">
        <f>SUM(AA55:AL55)</f>
        <v>264.95087652235321</v>
      </c>
      <c r="F65" s="383">
        <f>SUM(AM55:AX55)</f>
        <v>284.35160297347289</v>
      </c>
      <c r="G65" s="383">
        <f>SUM(AY55:BJ55)</f>
        <v>305.31765380365187</v>
      </c>
      <c r="H65" s="383">
        <f>SUM(BK55:BV55)</f>
        <v>326.03573905680804</v>
      </c>
      <c r="I65" s="383">
        <f>SUM(BW55:CH55)</f>
        <v>284.76501410913562</v>
      </c>
      <c r="J65" s="383">
        <f>SUM(CI55:CT55)</f>
        <v>302.98636750515982</v>
      </c>
      <c r="K65" s="383">
        <f>SUM(CU55:DF55)</f>
        <v>322.40044079597305</v>
      </c>
      <c r="L65" s="383">
        <f>SUM(DG55:DR55)</f>
        <v>343.08800957701021</v>
      </c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5"/>
      <c r="AR65" s="385"/>
      <c r="AS65" s="385"/>
      <c r="AT65" s="385"/>
      <c r="AU65" s="385"/>
      <c r="AV65" s="385"/>
      <c r="AW65" s="385"/>
      <c r="AX65" s="385"/>
      <c r="AY65" s="385"/>
      <c r="AZ65" s="385"/>
      <c r="BA65" s="385"/>
      <c r="BB65" s="385"/>
      <c r="BC65" s="385"/>
      <c r="BD65" s="385"/>
      <c r="BE65" s="385"/>
      <c r="BF65" s="385"/>
      <c r="BG65" s="385"/>
      <c r="BH65" s="385"/>
      <c r="BI65" s="385"/>
      <c r="BJ65" s="385"/>
    </row>
    <row r="66" spans="2:62" x14ac:dyDescent="0.3">
      <c r="B66" s="382" t="s">
        <v>435</v>
      </c>
      <c r="C66" s="383">
        <f t="shared" ref="C66:C68" si="288">SUM(C56:N56)</f>
        <v>179.66495140251976</v>
      </c>
      <c r="D66" s="383">
        <f t="shared" ref="D66:D68" si="289">SUM(O56:Z56)</f>
        <v>173.6752757722104</v>
      </c>
      <c r="E66" s="383">
        <f t="shared" ref="E66:E68" si="290">SUM(AA56:AL56)</f>
        <v>167.01762314594339</v>
      </c>
      <c r="F66" s="383">
        <f t="shared" ref="F66:F68" si="291">SUM(AM56:AX56)</f>
        <v>159.61465918129514</v>
      </c>
      <c r="G66" s="383">
        <f t="shared" ref="G66:G68" si="292">SUM(AY56:BJ56)</f>
        <v>151.37989135057518</v>
      </c>
      <c r="H66" s="383">
        <f t="shared" ref="H66:H68" si="293">SUM(BK56:BV56)</f>
        <v>142.3114352230298</v>
      </c>
      <c r="I66" s="383">
        <f t="shared" ref="I66:I68" si="294">SUM(BW56:CH56)</f>
        <v>135.77613742875874</v>
      </c>
      <c r="J66" s="383">
        <f t="shared" ref="J66:J68" si="295">SUM(CI56:CT56)</f>
        <v>132.76350374239027</v>
      </c>
      <c r="K66" s="383">
        <f t="shared" ref="K66:K68" si="296">SUM(CU56:DF56)</f>
        <v>129.48547027967638</v>
      </c>
      <c r="L66" s="383">
        <f t="shared" ref="L66:L68" si="297">SUM(DG56:DR56)</f>
        <v>125.91700419276026</v>
      </c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  <c r="AJ66" s="385"/>
      <c r="AK66" s="385"/>
      <c r="AL66" s="385"/>
      <c r="AM66" s="385"/>
      <c r="AN66" s="385"/>
      <c r="AO66" s="385"/>
      <c r="AP66" s="385"/>
      <c r="AQ66" s="385"/>
      <c r="AR66" s="385"/>
      <c r="AS66" s="385"/>
      <c r="AT66" s="385"/>
      <c r="AU66" s="385"/>
      <c r="AV66" s="385"/>
      <c r="AW66" s="385"/>
      <c r="AX66" s="385"/>
      <c r="AY66" s="385"/>
      <c r="AZ66" s="385"/>
      <c r="BA66" s="385"/>
      <c r="BB66" s="385"/>
      <c r="BC66" s="385"/>
      <c r="BD66" s="385"/>
      <c r="BE66" s="385"/>
      <c r="BF66" s="385"/>
      <c r="BG66" s="385"/>
      <c r="BH66" s="385"/>
      <c r="BI66" s="385"/>
      <c r="BJ66" s="385"/>
    </row>
    <row r="67" spans="2:62" x14ac:dyDescent="0.3">
      <c r="B67" s="382" t="s">
        <v>436</v>
      </c>
      <c r="C67" s="383">
        <f>C65+C66</f>
        <v>410.00829960455019</v>
      </c>
      <c r="D67" s="383">
        <f t="shared" ref="D67:K67" si="298">D65+D66</f>
        <v>420.66236152661463</v>
      </c>
      <c r="E67" s="383">
        <f t="shared" si="298"/>
        <v>431.9684996682966</v>
      </c>
      <c r="F67" s="383">
        <f t="shared" si="298"/>
        <v>443.96626215476806</v>
      </c>
      <c r="G67" s="383">
        <f t="shared" si="298"/>
        <v>456.69754515422704</v>
      </c>
      <c r="H67" s="383">
        <f t="shared" si="298"/>
        <v>468.34717427983787</v>
      </c>
      <c r="I67" s="383">
        <f t="shared" si="298"/>
        <v>420.54115153789439</v>
      </c>
      <c r="J67" s="383">
        <f t="shared" si="298"/>
        <v>435.74987124755012</v>
      </c>
      <c r="K67" s="383">
        <f t="shared" si="298"/>
        <v>451.88591107564946</v>
      </c>
      <c r="L67" s="383">
        <f>L65+L66</f>
        <v>469.00501376977047</v>
      </c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5"/>
      <c r="AR67" s="385"/>
      <c r="AS67" s="385"/>
      <c r="AT67" s="385"/>
      <c r="AU67" s="385"/>
      <c r="AV67" s="385"/>
      <c r="AW67" s="385"/>
      <c r="AX67" s="385"/>
      <c r="AY67" s="385"/>
      <c r="AZ67" s="385"/>
      <c r="BA67" s="385"/>
      <c r="BB67" s="385"/>
      <c r="BC67" s="385"/>
      <c r="BD67" s="385"/>
      <c r="BE67" s="385"/>
      <c r="BF67" s="385"/>
      <c r="BG67" s="385"/>
      <c r="BH67" s="385"/>
      <c r="BI67" s="385"/>
      <c r="BJ67" s="385"/>
    </row>
    <row r="68" spans="2:62" x14ac:dyDescent="0.3">
      <c r="B68" s="382" t="s">
        <v>187</v>
      </c>
      <c r="C68" s="383">
        <f t="shared" si="288"/>
        <v>33453.38897458477</v>
      </c>
      <c r="D68" s="383">
        <f t="shared" si="289"/>
        <v>30582.340716567101</v>
      </c>
      <c r="E68" s="383">
        <f t="shared" si="290"/>
        <v>27503.097978202688</v>
      </c>
      <c r="F68" s="383">
        <f t="shared" si="291"/>
        <v>24199.071240148984</v>
      </c>
      <c r="G68" s="383">
        <f t="shared" si="292"/>
        <v>20652.194761532646</v>
      </c>
      <c r="H68" s="383">
        <f t="shared" si="293"/>
        <v>16855.275704842075</v>
      </c>
      <c r="I68" s="383">
        <f t="shared" si="294"/>
        <v>13205.432170021708</v>
      </c>
      <c r="J68" s="383">
        <f t="shared" si="295"/>
        <v>9670.959245827933</v>
      </c>
      <c r="K68" s="383">
        <f t="shared" si="296"/>
        <v>5910.1548963139358</v>
      </c>
      <c r="L68" s="383">
        <f t="shared" si="297"/>
        <v>1908.1869341088197</v>
      </c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5"/>
      <c r="AR68" s="385"/>
      <c r="AS68" s="385"/>
      <c r="AT68" s="385"/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5"/>
      <c r="BH68" s="385"/>
      <c r="BI68" s="385"/>
      <c r="BJ68" s="385"/>
    </row>
    <row r="69" spans="2:62" x14ac:dyDescent="0.3">
      <c r="B69" s="382" t="s">
        <v>437</v>
      </c>
      <c r="C69" s="383">
        <f>N13+N25+N37+N49</f>
        <v>246.98708575440423</v>
      </c>
      <c r="D69" s="383">
        <f>Z49+Z37+Z25+Z13</f>
        <v>264.95087652235321</v>
      </c>
      <c r="E69" s="383">
        <f>AL13+AL25+AL37+AL49</f>
        <v>284.35160297347295</v>
      </c>
      <c r="F69" s="383">
        <f>AX13+AX25+AX37+AX49</f>
        <v>305.31765380365187</v>
      </c>
      <c r="G69" s="383">
        <f>BJ13+BJ25+BJ37+BJ49</f>
        <v>326.03573905680804</v>
      </c>
      <c r="H69" s="383">
        <f>BV13+BV24+BV49</f>
        <v>284.76501410913562</v>
      </c>
      <c r="I69" s="383">
        <f>CH49+CH25+CH13</f>
        <v>302.98636750515976</v>
      </c>
      <c r="J69" s="383">
        <f>CT49+CT25+CT13</f>
        <v>322.40044079597305</v>
      </c>
      <c r="K69" s="383">
        <f>DF49+DF25+DF13</f>
        <v>343.08800957701021</v>
      </c>
      <c r="L69" s="383">
        <f>DR49+DR25+DR13</f>
        <v>0</v>
      </c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</row>
    <row r="70" spans="2:62" x14ac:dyDescent="0.3">
      <c r="B70" s="382" t="s">
        <v>438</v>
      </c>
      <c r="C70" s="383">
        <f>N14+N26+N38+N50</f>
        <v>2433.8957043435653</v>
      </c>
      <c r="D70" s="383">
        <f>Z50+Z38+Z26+Z14</f>
        <v>2168.9448278212117</v>
      </c>
      <c r="E70" s="383">
        <f>AL14+AL26+AL38+AL50</f>
        <v>1884.5932248477386</v>
      </c>
      <c r="F70" s="383">
        <f>AX14+AX26+AX38+AX50</f>
        <v>1579.2755710440867</v>
      </c>
      <c r="G70" s="383">
        <f>BJ14+BJ26+BJ38+BJ50</f>
        <v>1253.2398319872789</v>
      </c>
      <c r="H70" s="383">
        <f>BV14+BV25+BV50</f>
        <v>968.47481787814297</v>
      </c>
      <c r="I70" s="383">
        <f>CH50+CH26+CH14</f>
        <v>665.48845037298349</v>
      </c>
      <c r="J70" s="383">
        <f>CT50+CT26+CT14</f>
        <v>343.08800957701044</v>
      </c>
      <c r="K70" s="383">
        <f>DF50+DF26+DF14</f>
        <v>1.3855583347321954E-13</v>
      </c>
      <c r="L70" s="383">
        <f>DR50+DR26+DR14</f>
        <v>1.5254464358349651E-13</v>
      </c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</row>
    <row r="72" spans="2:62" x14ac:dyDescent="0.3">
      <c r="B72" s="378" t="s">
        <v>442</v>
      </c>
      <c r="C72" s="377" t="s">
        <v>138</v>
      </c>
      <c r="D72" s="377" t="s">
        <v>139</v>
      </c>
      <c r="E72" s="377" t="s">
        <v>140</v>
      </c>
      <c r="F72" s="377" t="s">
        <v>141</v>
      </c>
      <c r="G72" s="377" t="s">
        <v>142</v>
      </c>
      <c r="H72" s="377" t="s">
        <v>443</v>
      </c>
      <c r="I72" s="377" t="s">
        <v>444</v>
      </c>
      <c r="J72" s="377" t="s">
        <v>445</v>
      </c>
      <c r="K72" s="377" t="s">
        <v>446</v>
      </c>
      <c r="L72" s="377" t="s">
        <v>447</v>
      </c>
    </row>
    <row r="73" spans="2:62" x14ac:dyDescent="0.3">
      <c r="B73" s="382" t="s">
        <v>451</v>
      </c>
      <c r="C73" s="383">
        <f>C17+C29+C41</f>
        <v>2774.16</v>
      </c>
      <c r="D73" s="383"/>
      <c r="E73" s="383"/>
      <c r="F73" s="383"/>
      <c r="G73" s="383"/>
      <c r="H73" s="383"/>
      <c r="I73" s="383"/>
      <c r="J73" s="383"/>
      <c r="K73" s="383"/>
      <c r="L73" s="383"/>
    </row>
  </sheetData>
  <dataConsolidate/>
  <phoneticPr fontId="53" type="noConversion"/>
  <dataValidations count="2">
    <dataValidation showDropDown="1" showInputMessage="1" showErrorMessage="1" sqref="G17 G29 G41 G5" xr:uid="{FB841F36-3510-4783-BF04-AD28AFD0CF26}"/>
    <dataValidation type="list" allowBlank="1" showInputMessage="1" showErrorMessage="1" sqref="F29 F17 F41 F5" xr:uid="{2535E6B7-24A9-4E09-99C1-05C1910D30E2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47B4-9D3D-4020-8D65-BBE7BAECB536}">
  <sheetPr>
    <tabColor theme="8" tint="-0.249977111117893"/>
  </sheetPr>
  <dimension ref="B2:N48"/>
  <sheetViews>
    <sheetView showGridLines="0" workbookViewId="0">
      <selection activeCell="J1" sqref="J1"/>
    </sheetView>
  </sheetViews>
  <sheetFormatPr defaultColWidth="8.88671875" defaultRowHeight="14.4" x14ac:dyDescent="0.3"/>
  <cols>
    <col min="2" max="2" width="38.33203125" bestFit="1" customWidth="1"/>
    <col min="3" max="3" width="17" bestFit="1" customWidth="1"/>
    <col min="4" max="5" width="16.33203125" bestFit="1" customWidth="1"/>
    <col min="6" max="6" width="18" bestFit="1" customWidth="1"/>
    <col min="7" max="7" width="18.109375" bestFit="1" customWidth="1"/>
    <col min="8" max="8" width="10" customWidth="1"/>
    <col min="9" max="9" width="27.5546875" bestFit="1" customWidth="1"/>
    <col min="10" max="10" width="8.33203125" bestFit="1" customWidth="1"/>
    <col min="11" max="11" width="17" bestFit="1" customWidth="1"/>
    <col min="12" max="12" width="31.33203125" bestFit="1" customWidth="1"/>
  </cols>
  <sheetData>
    <row r="2" spans="2:11" ht="22.2" customHeight="1" x14ac:dyDescent="0.3">
      <c r="B2" s="460" t="s">
        <v>135</v>
      </c>
      <c r="C2" s="460"/>
      <c r="D2" s="460"/>
      <c r="E2" s="460"/>
      <c r="F2" s="460"/>
      <c r="G2" s="460"/>
    </row>
    <row r="5" spans="2:11" ht="15" customHeight="1" x14ac:dyDescent="0.3">
      <c r="B5" s="103" t="s">
        <v>136</v>
      </c>
      <c r="C5" s="103"/>
      <c r="D5" s="103"/>
      <c r="E5" s="103"/>
      <c r="F5" s="103"/>
      <c r="G5" s="103"/>
      <c r="I5" s="103" t="s">
        <v>137</v>
      </c>
      <c r="J5" s="103"/>
    </row>
    <row r="7" spans="2:11" ht="15" thickBot="1" x14ac:dyDescent="0.35">
      <c r="B7" s="104" t="s">
        <v>2</v>
      </c>
      <c r="C7" s="105" t="s">
        <v>138</v>
      </c>
      <c r="D7" s="106" t="s">
        <v>139</v>
      </c>
      <c r="E7" s="106" t="s">
        <v>140</v>
      </c>
      <c r="F7" s="106" t="s">
        <v>141</v>
      </c>
      <c r="G7" s="106" t="s">
        <v>142</v>
      </c>
      <c r="I7" s="461" t="s">
        <v>143</v>
      </c>
      <c r="J7" s="461"/>
    </row>
    <row r="8" spans="2:11" ht="15" thickTop="1" x14ac:dyDescent="0.3">
      <c r="B8" s="108" t="s">
        <v>144</v>
      </c>
      <c r="C8" s="109">
        <v>1</v>
      </c>
      <c r="D8" s="109">
        <v>2</v>
      </c>
      <c r="E8" s="109">
        <v>3</v>
      </c>
      <c r="F8" s="109">
        <v>4</v>
      </c>
      <c r="G8" s="109">
        <v>5</v>
      </c>
      <c r="I8" s="110" t="s">
        <v>145</v>
      </c>
      <c r="J8" s="111">
        <v>0</v>
      </c>
    </row>
    <row r="9" spans="2:11" ht="15" thickBot="1" x14ac:dyDescent="0.35">
      <c r="B9" s="112" t="s">
        <v>146</v>
      </c>
      <c r="C9" s="277">
        <f>'P&amp;L'!F46</f>
        <v>147.44829246888182</v>
      </c>
      <c r="D9" s="277">
        <f>'P&amp;L'!G46</f>
        <v>611.92708766527426</v>
      </c>
      <c r="E9" s="277">
        <f>'P&amp;L'!H46</f>
        <v>1152.6457359326366</v>
      </c>
      <c r="F9" s="277">
        <f>'P&amp;L'!I46</f>
        <v>1840.1824578023359</v>
      </c>
      <c r="G9" s="277">
        <f>'P&amp;L'!J46</f>
        <v>2730.4052661870933</v>
      </c>
      <c r="H9" s="114"/>
      <c r="I9" s="115" t="s">
        <v>147</v>
      </c>
      <c r="J9" s="116">
        <v>1</v>
      </c>
      <c r="K9" s="114"/>
    </row>
    <row r="10" spans="2:11" ht="15" thickTop="1" x14ac:dyDescent="0.3">
      <c r="B10" s="112" t="s">
        <v>148</v>
      </c>
      <c r="C10" s="277">
        <f>'P&amp;L'!F54</f>
        <v>0</v>
      </c>
      <c r="D10" s="277">
        <f>'P&amp;L'!G54</f>
        <v>131.47554356791915</v>
      </c>
      <c r="E10" s="277">
        <f>'P&amp;L'!H54</f>
        <v>417.4989797238357</v>
      </c>
      <c r="F10" s="277">
        <f>'P&amp;L'!I54</f>
        <v>842.81431931014799</v>
      </c>
      <c r="G10" s="277">
        <f>'P&amp;L'!J54</f>
        <v>728.90861245095539</v>
      </c>
      <c r="H10" s="114"/>
      <c r="I10" s="117" t="s">
        <v>149</v>
      </c>
      <c r="J10" s="118">
        <f>J8/J9</f>
        <v>0</v>
      </c>
      <c r="K10" s="114"/>
    </row>
    <row r="11" spans="2:11" x14ac:dyDescent="0.3">
      <c r="B11" s="112" t="s">
        <v>150</v>
      </c>
      <c r="C11" s="277">
        <f>'P&amp;L'!F44</f>
        <v>37.351707531118187</v>
      </c>
      <c r="D11" s="277">
        <f>'P&amp;L'!G44</f>
        <v>39.852912334725659</v>
      </c>
      <c r="E11" s="277">
        <f>'P&amp;L'!H44</f>
        <v>44.969264067363056</v>
      </c>
      <c r="F11" s="277">
        <f>'P&amp;L'!I44</f>
        <v>53.665192197664368</v>
      </c>
      <c r="G11" s="277">
        <f>'P&amp;L'!J44</f>
        <v>62.148476312908265</v>
      </c>
      <c r="H11" s="114"/>
      <c r="I11" s="110"/>
      <c r="J11" s="110"/>
      <c r="K11" s="114"/>
    </row>
    <row r="12" spans="2:11" ht="15" thickBot="1" x14ac:dyDescent="0.35">
      <c r="B12" s="112" t="s">
        <v>151</v>
      </c>
      <c r="C12" s="277">
        <f>DAS!F83</f>
        <v>43</v>
      </c>
      <c r="D12" s="277">
        <f>DAS!H83</f>
        <v>64</v>
      </c>
      <c r="E12" s="277">
        <f>DAS!J83</f>
        <v>75</v>
      </c>
      <c r="F12" s="277">
        <f>DAS!L83</f>
        <v>97</v>
      </c>
      <c r="G12" s="277">
        <f>DAS!N83</f>
        <v>103.00000000000001</v>
      </c>
      <c r="H12" s="114"/>
      <c r="I12" s="107" t="s">
        <v>152</v>
      </c>
      <c r="J12" s="107"/>
      <c r="K12" s="114"/>
    </row>
    <row r="13" spans="2:11" ht="15.6" thickTop="1" thickBot="1" x14ac:dyDescent="0.35">
      <c r="B13" s="119" t="s">
        <v>153</v>
      </c>
      <c r="C13" s="278">
        <f>WC!E56</f>
        <v>68.307523763013705</v>
      </c>
      <c r="D13" s="278">
        <f>WC!F56</f>
        <v>203.55863013698632</v>
      </c>
      <c r="E13" s="278">
        <f>WC!G56</f>
        <v>206.57445205479451</v>
      </c>
      <c r="F13" s="278">
        <f>WC!H56</f>
        <v>257.53465273972608</v>
      </c>
      <c r="G13" s="278">
        <f>WC!I56</f>
        <v>337.33455811643853</v>
      </c>
      <c r="H13" s="114"/>
      <c r="I13" s="110" t="s">
        <v>154</v>
      </c>
      <c r="J13" s="121">
        <v>6.5199999999999994E-2</v>
      </c>
      <c r="K13" s="114"/>
    </row>
    <row r="14" spans="2:11" ht="15.6" thickTop="1" thickBot="1" x14ac:dyDescent="0.35">
      <c r="B14" s="122" t="s">
        <v>155</v>
      </c>
      <c r="C14" s="123">
        <f>C9-C10+C11-C12-C13</f>
        <v>73.492476236986306</v>
      </c>
      <c r="D14" s="123">
        <f>D9-D10+D11-D12-D13</f>
        <v>252.74582629509445</v>
      </c>
      <c r="E14" s="123">
        <f>E9-E10+E11-E12-E13</f>
        <v>498.54156822136952</v>
      </c>
      <c r="F14" s="123">
        <f t="shared" ref="F14" si="0">F9-F10+F11-F12-F13</f>
        <v>696.49867795012608</v>
      </c>
      <c r="G14" s="123">
        <f>G9-G10+G11-G12-G13</f>
        <v>1623.3105719326077</v>
      </c>
      <c r="I14" s="110" t="s">
        <v>156</v>
      </c>
      <c r="J14" s="121">
        <v>7.2599999999999998E-2</v>
      </c>
    </row>
    <row r="15" spans="2:11" ht="15" thickTop="1" x14ac:dyDescent="0.3">
      <c r="B15" s="124"/>
      <c r="C15" s="125"/>
      <c r="D15" s="125"/>
      <c r="E15" s="125"/>
      <c r="F15" s="125"/>
      <c r="G15" s="125"/>
      <c r="I15" s="110" t="s">
        <v>157</v>
      </c>
      <c r="J15" s="111">
        <v>0.2</v>
      </c>
    </row>
    <row r="16" spans="2:11" x14ac:dyDescent="0.3">
      <c r="B16" s="124" t="str">
        <f>'Valuation-DCF-Terminal Growth '!I25</f>
        <v>Adjusted WACC</v>
      </c>
      <c r="C16" s="126">
        <f>'Valuation-DCF-Terminal Growth '!J25</f>
        <v>0.33779999999999999</v>
      </c>
      <c r="D16" s="127">
        <f t="shared" ref="D16:F17" si="1">C16</f>
        <v>0.33779999999999999</v>
      </c>
      <c r="E16" s="127">
        <f t="shared" si="1"/>
        <v>0.33779999999999999</v>
      </c>
      <c r="F16" s="127">
        <f t="shared" si="1"/>
        <v>0.33779999999999999</v>
      </c>
      <c r="G16" s="127">
        <f t="shared" ref="G16:G17" si="2">F16</f>
        <v>0.33779999999999999</v>
      </c>
      <c r="I16" s="110" t="s">
        <v>158</v>
      </c>
      <c r="J16" s="128">
        <v>1</v>
      </c>
    </row>
    <row r="17" spans="2:14" ht="15" thickBot="1" x14ac:dyDescent="0.35">
      <c r="B17" s="124" t="s">
        <v>159</v>
      </c>
      <c r="C17" s="127">
        <f>'Valuation-DCF-Terminal Growth '!J26</f>
        <v>4.4999999999999998E-2</v>
      </c>
      <c r="D17" s="127">
        <f t="shared" si="1"/>
        <v>4.4999999999999998E-2</v>
      </c>
      <c r="E17" s="127">
        <f t="shared" si="1"/>
        <v>4.4999999999999998E-2</v>
      </c>
      <c r="F17" s="127">
        <f t="shared" si="1"/>
        <v>4.4999999999999998E-2</v>
      </c>
      <c r="G17" s="127">
        <f t="shared" si="2"/>
        <v>4.4999999999999998E-2</v>
      </c>
      <c r="I17" s="129" t="s">
        <v>160</v>
      </c>
      <c r="J17" s="116">
        <v>0</v>
      </c>
    </row>
    <row r="18" spans="2:14" ht="15.6" thickTop="1" thickBot="1" x14ac:dyDescent="0.35">
      <c r="B18" s="130" t="s">
        <v>161</v>
      </c>
      <c r="C18" s="131">
        <f>1/(1+C16)^C8</f>
        <v>0.74749588877261175</v>
      </c>
      <c r="D18" s="131">
        <f>1/(1+D16)^D8</f>
        <v>0.55875010373195666</v>
      </c>
      <c r="E18" s="131">
        <f>1/(1+E16)^E8</f>
        <v>0.41766340539090796</v>
      </c>
      <c r="F18" s="131">
        <f>1/(1+F16)^F8</f>
        <v>0.31220167842047231</v>
      </c>
      <c r="G18" s="131">
        <f>1/(1+G16)^G8</f>
        <v>0.23336947108721207</v>
      </c>
      <c r="I18" s="117" t="s">
        <v>162</v>
      </c>
      <c r="J18" s="132">
        <f>J13+(J14*J16)+J15+J17</f>
        <v>0.33779999999999999</v>
      </c>
    </row>
    <row r="19" spans="2:14" ht="15" thickTop="1" x14ac:dyDescent="0.3">
      <c r="B19" s="124"/>
      <c r="C19" s="125"/>
      <c r="D19" s="125"/>
      <c r="E19" s="125"/>
      <c r="F19" s="125"/>
      <c r="G19" s="125"/>
      <c r="I19" s="110"/>
      <c r="J19" s="110"/>
    </row>
    <row r="20" spans="2:14" ht="15" thickBot="1" x14ac:dyDescent="0.35">
      <c r="B20" s="124" t="s">
        <v>163</v>
      </c>
      <c r="C20" s="133">
        <f>C14*C18</f>
        <v>54.935323842866126</v>
      </c>
      <c r="D20" s="133">
        <f>D14*D18</f>
        <v>141.22175666020311</v>
      </c>
      <c r="E20" s="133">
        <f>E14*E18</f>
        <v>208.22256911226086</v>
      </c>
      <c r="F20" s="133">
        <f>F14*F18</f>
        <v>217.44805627366938</v>
      </c>
      <c r="G20" s="133">
        <f>G14*G18</f>
        <v>378.83112958219237</v>
      </c>
      <c r="I20" s="107" t="s">
        <v>164</v>
      </c>
      <c r="J20" s="107"/>
    </row>
    <row r="21" spans="2:14" ht="15" thickTop="1" x14ac:dyDescent="0.3">
      <c r="B21" s="124" t="s">
        <v>165</v>
      </c>
      <c r="C21" s="134"/>
      <c r="D21" s="134"/>
      <c r="E21" s="134"/>
      <c r="F21" s="134"/>
      <c r="G21" s="135">
        <f>G14*(1+G17)/(G16-G17)</f>
        <v>5793.5776901283289</v>
      </c>
      <c r="I21" s="110" t="s">
        <v>166</v>
      </c>
      <c r="J21" s="136">
        <v>0</v>
      </c>
    </row>
    <row r="22" spans="2:14" ht="15" thickBot="1" x14ac:dyDescent="0.35">
      <c r="B22" s="130" t="s">
        <v>167</v>
      </c>
      <c r="C22" s="137"/>
      <c r="D22" s="137"/>
      <c r="E22" s="137"/>
      <c r="F22" s="137"/>
      <c r="G22" s="138">
        <f>G21*G18</f>
        <v>1352.0441612479199</v>
      </c>
      <c r="I22" s="115" t="s">
        <v>168</v>
      </c>
      <c r="J22" s="116">
        <f>'P&amp;L'!Q54</f>
        <v>0.3</v>
      </c>
    </row>
    <row r="23" spans="2:14" ht="15" thickTop="1" x14ac:dyDescent="0.3">
      <c r="B23" s="124"/>
      <c r="C23" s="139"/>
      <c r="D23" s="139"/>
      <c r="E23" s="139"/>
      <c r="F23" s="139"/>
      <c r="G23" s="139"/>
      <c r="I23" s="117" t="s">
        <v>169</v>
      </c>
      <c r="J23" s="140">
        <f>J21*(1-J22)</f>
        <v>0</v>
      </c>
    </row>
    <row r="24" spans="2:14" x14ac:dyDescent="0.3">
      <c r="B24" s="124" t="s">
        <v>310</v>
      </c>
      <c r="C24" s="139"/>
      <c r="D24" s="139"/>
      <c r="E24" s="139"/>
      <c r="F24" s="139"/>
      <c r="G24" s="141">
        <f>SUM(C20:G20)+G22</f>
        <v>2352.702996719112</v>
      </c>
      <c r="I24" s="110"/>
      <c r="J24" s="110"/>
    </row>
    <row r="25" spans="2:14" ht="15" thickBot="1" x14ac:dyDescent="0.35">
      <c r="B25" s="130" t="s">
        <v>170</v>
      </c>
      <c r="C25" s="142"/>
      <c r="D25" s="142"/>
      <c r="E25" s="142"/>
      <c r="F25" s="142"/>
      <c r="G25" s="143">
        <f>G24/10^2</f>
        <v>23.527029967191119</v>
      </c>
      <c r="I25" s="144" t="s">
        <v>171</v>
      </c>
      <c r="J25" s="145">
        <f>(J8*J23)+(J9*J18)</f>
        <v>0.33779999999999999</v>
      </c>
    </row>
    <row r="26" spans="2:14" ht="15" thickTop="1" x14ac:dyDescent="0.3">
      <c r="B26" s="146"/>
      <c r="C26" s="147"/>
      <c r="D26" s="147"/>
      <c r="E26" s="147"/>
      <c r="F26" s="147"/>
      <c r="G26" s="147"/>
      <c r="I26" s="144" t="s">
        <v>172</v>
      </c>
      <c r="J26" s="148">
        <v>4.4999999999999998E-2</v>
      </c>
    </row>
    <row r="27" spans="2:14" x14ac:dyDescent="0.3">
      <c r="B27" s="146"/>
      <c r="C27" s="147"/>
      <c r="D27" s="147"/>
      <c r="E27" s="147"/>
      <c r="F27" s="147"/>
      <c r="G27" s="147"/>
      <c r="I27" s="144" t="s">
        <v>173</v>
      </c>
      <c r="J27" s="148">
        <v>0.2</v>
      </c>
    </row>
    <row r="28" spans="2:14" x14ac:dyDescent="0.3">
      <c r="B28" s="149" t="s">
        <v>2</v>
      </c>
      <c r="C28" s="150" t="s">
        <v>311</v>
      </c>
      <c r="D28" s="150" t="s">
        <v>312</v>
      </c>
    </row>
    <row r="29" spans="2:14" ht="15" thickBot="1" x14ac:dyDescent="0.35">
      <c r="B29" s="119" t="s">
        <v>174</v>
      </c>
      <c r="C29" s="120">
        <f>G24</f>
        <v>2352.702996719112</v>
      </c>
      <c r="D29" s="151">
        <f>C29/10^2</f>
        <v>23.527029967191119</v>
      </c>
      <c r="E29" s="152"/>
      <c r="F29" s="147"/>
      <c r="G29" s="147"/>
      <c r="H29" s="147"/>
      <c r="I29" s="147"/>
      <c r="J29" s="147"/>
      <c r="K29" s="147"/>
    </row>
    <row r="30" spans="2:14" ht="15" thickTop="1" x14ac:dyDescent="0.3">
      <c r="B30" s="112" t="s">
        <v>175</v>
      </c>
      <c r="C30" s="390">
        <f>Config!C8</f>
        <v>0.36969790000000002</v>
      </c>
      <c r="D30" s="153">
        <f t="shared" ref="D30:D35" si="3">C30/10^2</f>
        <v>3.6969790000000004E-3</v>
      </c>
      <c r="E30" s="152"/>
      <c r="J30" s="147"/>
      <c r="K30" s="147"/>
      <c r="L30" s="147"/>
      <c r="M30" s="147"/>
      <c r="N30" s="147"/>
    </row>
    <row r="31" spans="2:14" x14ac:dyDescent="0.3">
      <c r="B31" s="112" t="s">
        <v>176</v>
      </c>
      <c r="C31" s="113">
        <f>C29+C30</f>
        <v>2353.0726946191121</v>
      </c>
      <c r="D31" s="153">
        <f t="shared" si="3"/>
        <v>23.53072694619112</v>
      </c>
      <c r="E31" s="152"/>
    </row>
    <row r="32" spans="2:14" x14ac:dyDescent="0.3">
      <c r="B32" s="112" t="s">
        <v>177</v>
      </c>
      <c r="C32" s="113">
        <f>Config!G9</f>
        <v>137.06613830000001</v>
      </c>
      <c r="D32" s="153">
        <f t="shared" si="3"/>
        <v>1.3706613830000001</v>
      </c>
      <c r="E32" s="152"/>
    </row>
    <row r="33" spans="2:7" ht="15" thickBot="1" x14ac:dyDescent="0.35">
      <c r="B33" s="119" t="s">
        <v>178</v>
      </c>
      <c r="C33" s="120">
        <f>C31-C32</f>
        <v>2216.006556319112</v>
      </c>
      <c r="D33" s="151">
        <f t="shared" si="3"/>
        <v>22.160065563191118</v>
      </c>
      <c r="E33" s="152"/>
    </row>
    <row r="34" spans="2:7" ht="15" thickTop="1" x14ac:dyDescent="0.3">
      <c r="B34" s="112" t="s">
        <v>179</v>
      </c>
      <c r="C34" s="113">
        <f>C33*'Valuation-DCF-Terminal Growth '!J27</f>
        <v>443.20131126382239</v>
      </c>
      <c r="D34" s="153">
        <f t="shared" si="3"/>
        <v>4.4320131126382236</v>
      </c>
      <c r="E34" s="152"/>
    </row>
    <row r="35" spans="2:7" ht="15" thickBot="1" x14ac:dyDescent="0.35">
      <c r="B35" s="119" t="s">
        <v>180</v>
      </c>
      <c r="C35" s="120">
        <f>C33-C34</f>
        <v>1772.8052450552896</v>
      </c>
      <c r="D35" s="151">
        <f t="shared" si="3"/>
        <v>17.728052450552894</v>
      </c>
      <c r="E35" s="152"/>
    </row>
    <row r="36" spans="2:7" ht="15" thickTop="1" x14ac:dyDescent="0.3"/>
    <row r="37" spans="2:7" ht="15" customHeight="1" x14ac:dyDescent="0.3">
      <c r="B37" s="462" t="s">
        <v>181</v>
      </c>
      <c r="C37" s="462"/>
      <c r="D37" s="462"/>
      <c r="E37" s="462"/>
      <c r="F37" s="462"/>
      <c r="G37" s="462"/>
    </row>
    <row r="38" spans="2:7" x14ac:dyDescent="0.3">
      <c r="C38" s="154" t="s">
        <v>182</v>
      </c>
      <c r="D38" s="154"/>
    </row>
    <row r="39" spans="2:7" ht="15" thickBot="1" x14ac:dyDescent="0.35">
      <c r="B39" s="155">
        <f>D35</f>
        <v>17.728052450552894</v>
      </c>
      <c r="C39" s="156">
        <f>D39-1%</f>
        <v>0.31779999999999997</v>
      </c>
      <c r="D39" s="156">
        <f>E39-1%</f>
        <v>0.32779999999999998</v>
      </c>
      <c r="E39" s="156">
        <f>J25</f>
        <v>0.33779999999999999</v>
      </c>
      <c r="F39" s="156">
        <f>E39+1%</f>
        <v>0.3478</v>
      </c>
      <c r="G39" s="156">
        <f>F39+1%</f>
        <v>0.35780000000000001</v>
      </c>
    </row>
    <row r="40" spans="2:7" ht="15" thickTop="1" x14ac:dyDescent="0.3">
      <c r="B40" s="157">
        <f>B41-1%</f>
        <v>2.4999999999999994E-2</v>
      </c>
      <c r="C40" s="158">
        <f t="dataTable" ref="C40:G44" dt2D="1" dtr="1" r1="G16" r2="G17"/>
        <v>18.587996834630133</v>
      </c>
      <c r="D40" s="158">
        <v>17.678698592527549</v>
      </c>
      <c r="E40" s="158">
        <v>16.842694245524704</v>
      </c>
      <c r="F40" s="158">
        <v>16.072525612596099</v>
      </c>
      <c r="G40" s="158">
        <v>15.361662899193171</v>
      </c>
    </row>
    <row r="41" spans="2:7" x14ac:dyDescent="0.3">
      <c r="B41" s="157">
        <f>B42-1%</f>
        <v>3.4999999999999996E-2</v>
      </c>
      <c r="C41" s="158">
        <v>19.108044455235436</v>
      </c>
      <c r="D41" s="158">
        <v>18.149929756073167</v>
      </c>
      <c r="E41" s="158">
        <v>17.27075382681971</v>
      </c>
      <c r="F41" s="158">
        <v>16.462278665303391</v>
      </c>
      <c r="G41" s="158">
        <v>15.717320048365449</v>
      </c>
    </row>
    <row r="42" spans="2:7" x14ac:dyDescent="0.3">
      <c r="B42" s="157">
        <f>J26</f>
        <v>4.4999999999999998E-2</v>
      </c>
      <c r="C42" s="158">
        <v>19.666218734242896</v>
      </c>
      <c r="D42" s="158">
        <v>18.654487027365988</v>
      </c>
      <c r="E42" s="159">
        <v>17.728052450552894</v>
      </c>
      <c r="F42" s="158">
        <v>16.877774984371797</v>
      </c>
      <c r="G42" s="158">
        <v>16.095717424466901</v>
      </c>
    </row>
    <row r="43" spans="2:7" x14ac:dyDescent="0.3">
      <c r="B43" s="157">
        <f>B42+1%</f>
        <v>5.5E-2</v>
      </c>
      <c r="C43" s="158">
        <v>20.26687202991759</v>
      </c>
      <c r="D43" s="158">
        <v>19.196035300953014</v>
      </c>
      <c r="E43" s="158">
        <v>18.217691853899463</v>
      </c>
      <c r="F43" s="158">
        <v>17.321652199551437</v>
      </c>
      <c r="G43" s="158">
        <v>16.499108022239518</v>
      </c>
    </row>
    <row r="44" spans="2:7" x14ac:dyDescent="0.3">
      <c r="B44" s="157">
        <f>B43+1%</f>
        <v>6.5000000000000002E-2</v>
      </c>
      <c r="C44" s="158">
        <v>20.915045364807046</v>
      </c>
      <c r="D44" s="158">
        <v>19.778797293991104</v>
      </c>
      <c r="E44" s="158">
        <v>18.74322857420692</v>
      </c>
      <c r="F44" s="158">
        <v>17.796921014107287</v>
      </c>
      <c r="G44" s="158">
        <v>16.930052622592235</v>
      </c>
    </row>
    <row r="45" spans="2:7" x14ac:dyDescent="0.3">
      <c r="B45" s="160"/>
    </row>
    <row r="46" spans="2:7" x14ac:dyDescent="0.3">
      <c r="B46" s="160" t="s">
        <v>159</v>
      </c>
    </row>
    <row r="48" spans="2:7" x14ac:dyDescent="0.3">
      <c r="C48" s="147"/>
    </row>
  </sheetData>
  <mergeCells count="3">
    <mergeCell ref="B2:G2"/>
    <mergeCell ref="I7:J7"/>
    <mergeCell ref="B37:G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E775-99D0-4579-A947-25DC1CFD09C5}">
  <sheetPr>
    <tabColor theme="8" tint="-0.249977111117893"/>
  </sheetPr>
  <dimension ref="B2:H16"/>
  <sheetViews>
    <sheetView showGridLines="0" workbookViewId="0"/>
  </sheetViews>
  <sheetFormatPr defaultRowHeight="14.4" x14ac:dyDescent="0.3"/>
  <cols>
    <col min="2" max="2" width="45.33203125" customWidth="1"/>
    <col min="3" max="3" width="21.5546875" customWidth="1"/>
    <col min="4" max="4" width="21" customWidth="1"/>
    <col min="5" max="5" width="18.6640625" customWidth="1"/>
    <col min="6" max="6" width="45.109375" customWidth="1"/>
    <col min="7" max="8" width="17.6640625" customWidth="1"/>
  </cols>
  <sheetData>
    <row r="2" spans="2:8" x14ac:dyDescent="0.3">
      <c r="B2" s="460" t="s">
        <v>323</v>
      </c>
      <c r="C2" s="460"/>
    </row>
    <row r="3" spans="2:8" x14ac:dyDescent="0.3">
      <c r="B3" s="460"/>
      <c r="C3" s="460"/>
    </row>
    <row r="6" spans="2:8" x14ac:dyDescent="0.3">
      <c r="B6" s="402" t="s">
        <v>324</v>
      </c>
      <c r="C6" s="403"/>
      <c r="D6" s="404" t="s">
        <v>325</v>
      </c>
      <c r="F6" s="398" t="s">
        <v>326</v>
      </c>
      <c r="H6" s="288"/>
    </row>
    <row r="8" spans="2:8" x14ac:dyDescent="0.3">
      <c r="B8" t="s">
        <v>329</v>
      </c>
      <c r="D8" s="405">
        <f>532/73.2</f>
        <v>7.2677595628415297</v>
      </c>
      <c r="F8" s="289" t="s">
        <v>330</v>
      </c>
    </row>
    <row r="9" spans="2:8" x14ac:dyDescent="0.3">
      <c r="B9" s="406" t="s">
        <v>331</v>
      </c>
      <c r="D9" s="405">
        <f>33.33/5</f>
        <v>6.6659999999999995</v>
      </c>
      <c r="F9" s="289" t="s">
        <v>332</v>
      </c>
    </row>
    <row r="10" spans="2:8" x14ac:dyDescent="0.3">
      <c r="D10" s="405"/>
      <c r="G10" s="289"/>
    </row>
    <row r="11" spans="2:8" x14ac:dyDescent="0.3">
      <c r="B11" s="290" t="s">
        <v>327</v>
      </c>
      <c r="C11" s="290"/>
      <c r="D11" s="407">
        <f>MEDIAN(D8:D9)</f>
        <v>6.966879781420765</v>
      </c>
      <c r="G11" s="289"/>
    </row>
    <row r="12" spans="2:8" x14ac:dyDescent="0.3">
      <c r="B12" t="s">
        <v>504</v>
      </c>
      <c r="D12" s="408">
        <v>35</v>
      </c>
    </row>
    <row r="13" spans="2:8" x14ac:dyDescent="0.3">
      <c r="B13" t="s">
        <v>503</v>
      </c>
      <c r="D13" s="409">
        <f>D12*12</f>
        <v>420</v>
      </c>
    </row>
    <row r="14" spans="2:8" x14ac:dyDescent="0.3">
      <c r="B14" s="290" t="s">
        <v>333</v>
      </c>
      <c r="D14" s="410">
        <f>D11*D13</f>
        <v>2926.0895081967215</v>
      </c>
    </row>
    <row r="15" spans="2:8" x14ac:dyDescent="0.3">
      <c r="B15" s="290" t="s">
        <v>328</v>
      </c>
      <c r="D15" s="411">
        <f>D14/10^2</f>
        <v>29.260895081967213</v>
      </c>
    </row>
    <row r="16" spans="2:8" x14ac:dyDescent="0.3">
      <c r="B16" s="412"/>
      <c r="C16" s="412"/>
      <c r="D16" s="412"/>
    </row>
  </sheetData>
  <mergeCells count="1">
    <mergeCell ref="B2:C3"/>
  </mergeCells>
  <hyperlinks>
    <hyperlink ref="F8" r:id="rId1" xr:uid="{0AB76145-6C80-431E-922D-47D90310B17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5DC3-88DE-43AA-805F-033577F0541B}">
  <sheetPr>
    <tabColor rgb="FF92D050"/>
  </sheetPr>
  <dimension ref="B2:D27"/>
  <sheetViews>
    <sheetView showGridLines="0" workbookViewId="0"/>
  </sheetViews>
  <sheetFormatPr defaultRowHeight="14.4" x14ac:dyDescent="0.3"/>
  <cols>
    <col min="2" max="2" width="49.5546875" customWidth="1"/>
    <col min="3" max="3" width="20.5546875" customWidth="1"/>
    <col min="4" max="7" width="14.6640625" customWidth="1"/>
  </cols>
  <sheetData>
    <row r="2" spans="2:4" x14ac:dyDescent="0.3">
      <c r="B2" s="460" t="s">
        <v>313</v>
      </c>
    </row>
    <row r="3" spans="2:4" x14ac:dyDescent="0.3">
      <c r="B3" s="460"/>
    </row>
    <row r="4" spans="2:4" x14ac:dyDescent="0.3">
      <c r="B4" s="279"/>
    </row>
    <row r="5" spans="2:4" ht="15" thickBot="1" x14ac:dyDescent="0.35">
      <c r="B5" s="280"/>
    </row>
    <row r="6" spans="2:4" ht="15" thickTop="1" x14ac:dyDescent="0.3">
      <c r="B6" s="149" t="s">
        <v>2</v>
      </c>
      <c r="C6" s="150" t="s">
        <v>322</v>
      </c>
      <c r="D6" s="150" t="s">
        <v>314</v>
      </c>
    </row>
    <row r="7" spans="2:4" x14ac:dyDescent="0.3">
      <c r="B7" s="281" t="s">
        <v>315</v>
      </c>
      <c r="C7" s="282">
        <v>5</v>
      </c>
      <c r="D7" s="283"/>
    </row>
    <row r="8" spans="2:4" x14ac:dyDescent="0.3">
      <c r="B8" s="281" t="s">
        <v>316</v>
      </c>
      <c r="C8" s="284">
        <f>'P&amp;L'!J7</f>
        <v>8682.983250000003</v>
      </c>
      <c r="D8" s="285">
        <f>C8/10^2</f>
        <v>86.829832500000023</v>
      </c>
    </row>
    <row r="9" spans="2:4" x14ac:dyDescent="0.3">
      <c r="B9" s="124" t="s">
        <v>317</v>
      </c>
      <c r="C9" s="125">
        <f>C7*C8</f>
        <v>43414.916250000017</v>
      </c>
      <c r="D9" s="285">
        <f>C9/10^2</f>
        <v>434.14916250000016</v>
      </c>
    </row>
    <row r="10" spans="2:4" x14ac:dyDescent="0.3">
      <c r="B10" s="124" t="s">
        <v>318</v>
      </c>
      <c r="C10" s="139">
        <v>10</v>
      </c>
      <c r="D10" s="285"/>
    </row>
    <row r="11" spans="2:4" x14ac:dyDescent="0.3">
      <c r="B11" s="124" t="s">
        <v>319</v>
      </c>
      <c r="C11" s="125">
        <f>C9/C10</f>
        <v>4341.4916250000015</v>
      </c>
      <c r="D11" s="285">
        <f>C11/10^2</f>
        <v>43.414916250000012</v>
      </c>
    </row>
    <row r="12" spans="2:4" x14ac:dyDescent="0.3">
      <c r="B12" s="124" t="s">
        <v>320</v>
      </c>
      <c r="C12" s="286">
        <v>0.2</v>
      </c>
      <c r="D12" s="285"/>
    </row>
    <row r="13" spans="2:4" x14ac:dyDescent="0.3">
      <c r="B13" s="399" t="s">
        <v>321</v>
      </c>
      <c r="C13" s="400">
        <f>C11*(1-C12)</f>
        <v>3473.1933000000013</v>
      </c>
      <c r="D13" s="401">
        <f>C13/10^2</f>
        <v>34.731933000000012</v>
      </c>
    </row>
    <row r="14" spans="2:4" x14ac:dyDescent="0.3">
      <c r="B14" s="287"/>
      <c r="C14" s="287"/>
      <c r="D14" s="287"/>
    </row>
    <row r="15" spans="2:4" x14ac:dyDescent="0.3">
      <c r="B15" s="287"/>
      <c r="C15" s="287"/>
      <c r="D15" s="287"/>
    </row>
    <row r="16" spans="2:4" x14ac:dyDescent="0.3">
      <c r="B16" s="287"/>
      <c r="C16" s="287"/>
      <c r="D16" s="287"/>
    </row>
    <row r="17" spans="2:4" x14ac:dyDescent="0.3">
      <c r="B17" s="287"/>
      <c r="C17" s="287"/>
      <c r="D17" s="287"/>
    </row>
    <row r="18" spans="2:4" x14ac:dyDescent="0.3">
      <c r="B18" s="287"/>
      <c r="C18" s="287"/>
      <c r="D18" s="287"/>
    </row>
    <row r="19" spans="2:4" x14ac:dyDescent="0.3">
      <c r="B19" s="287"/>
      <c r="C19" s="287"/>
      <c r="D19" s="287"/>
    </row>
    <row r="20" spans="2:4" x14ac:dyDescent="0.3">
      <c r="B20" s="287"/>
      <c r="C20" s="287"/>
      <c r="D20" s="287"/>
    </row>
    <row r="21" spans="2:4" x14ac:dyDescent="0.3">
      <c r="B21" s="287"/>
      <c r="C21" s="287"/>
      <c r="D21" s="287"/>
    </row>
    <row r="22" spans="2:4" x14ac:dyDescent="0.3">
      <c r="B22" s="287"/>
      <c r="C22" s="287"/>
      <c r="D22" s="287"/>
    </row>
    <row r="23" spans="2:4" x14ac:dyDescent="0.3">
      <c r="B23" s="287"/>
      <c r="C23" s="287"/>
      <c r="D23" s="287"/>
    </row>
    <row r="24" spans="2:4" x14ac:dyDescent="0.3">
      <c r="B24" s="287"/>
      <c r="C24" s="287"/>
      <c r="D24" s="287"/>
    </row>
    <row r="25" spans="2:4" x14ac:dyDescent="0.3">
      <c r="B25" s="287"/>
      <c r="C25" s="287"/>
      <c r="D25" s="287"/>
    </row>
    <row r="26" spans="2:4" x14ac:dyDescent="0.3">
      <c r="B26" s="287"/>
      <c r="C26" s="287"/>
      <c r="D26" s="287"/>
    </row>
    <row r="27" spans="2:4" x14ac:dyDescent="0.3">
      <c r="B27" s="287"/>
      <c r="C27" s="287"/>
      <c r="D27" s="287"/>
    </row>
  </sheetData>
  <mergeCells count="1">
    <mergeCell ref="B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Charts</vt:lpstr>
      <vt:lpstr>Dashboard</vt:lpstr>
      <vt:lpstr>Config</vt:lpstr>
      <vt:lpstr>PAG-2</vt:lpstr>
      <vt:lpstr>BS</vt:lpstr>
      <vt:lpstr>P&amp;L</vt:lpstr>
      <vt:lpstr>CFS</vt:lpstr>
      <vt:lpstr>Revenue generation breakup</vt:lpstr>
      <vt:lpstr>All Costs</vt:lpstr>
      <vt:lpstr>DAS</vt:lpstr>
      <vt:lpstr>BEA</vt:lpstr>
      <vt:lpstr>WC</vt:lpstr>
      <vt:lpstr>Debt Schedule</vt:lpstr>
      <vt:lpstr>Valuation-DCF-Terminal Growth </vt:lpstr>
      <vt:lpstr>Valuation-Comparables</vt:lpstr>
      <vt:lpstr>Valuation-VC </vt:lpstr>
      <vt:lpstr>'All Costs'!Print_Area</vt:lpstr>
      <vt:lpstr>BEA!Print_Area</vt:lpstr>
      <vt:lpstr>BS!Print_Area</vt:lpstr>
      <vt:lpstr>CFS!Print_Area</vt:lpstr>
      <vt:lpstr>'P&amp;L'!Print_Area</vt:lpstr>
      <vt:lpstr>'PAG-2'!Print_Area</vt:lpstr>
      <vt:lpstr>WC!Print_Area</vt:lpstr>
      <vt:lpstr>DAS!Print_Titles</vt:lpstr>
      <vt:lpstr>'P&amp;L'!Print_Titles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J</dc:creator>
  <cp:lastModifiedBy>K232</cp:lastModifiedBy>
  <dcterms:created xsi:type="dcterms:W3CDTF">2025-10-08T14:37:18Z</dcterms:created>
  <dcterms:modified xsi:type="dcterms:W3CDTF">2026-01-28T07:24:57Z</dcterms:modified>
</cp:coreProperties>
</file>